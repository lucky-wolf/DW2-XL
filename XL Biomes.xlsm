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\Projects\DW2-XL\"/>
    </mc:Choice>
  </mc:AlternateContent>
  <xr:revisionPtr revIDLastSave="0" documentId="13_ncr:1_{001CE3E4-1512-4798-95BF-BF475E217D9B}" xr6:coauthVersionLast="47" xr6:coauthVersionMax="47" xr10:uidLastSave="{00000000-0000-0000-0000-000000000000}"/>
  <bookViews>
    <workbookView xWindow="0" yWindow="0" windowWidth="32340" windowHeight="16680" xr2:uid="{EF8EE715-2DE6-42A5-ACF9-DC3CF1819D35}"/>
  </bookViews>
  <sheets>
    <sheet name="Sheet1" sheetId="1" r:id="rId1"/>
    <sheet name="Sheet2" sheetId="2" r:id="rId2"/>
  </sheets>
  <definedNames>
    <definedName name="_xlnm._FilterDatabase" localSheetId="1" hidden="1">Sheet2!$B$2:$B$10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 a="1"/>
  <c r="F5" i="1" s="1"/>
  <c r="G5" i="1" a="1"/>
  <c r="G5" i="1" s="1"/>
  <c r="H5" i="1" a="1"/>
  <c r="H5" i="1" s="1"/>
  <c r="I5" i="1" a="1"/>
  <c r="I5" i="1" s="1"/>
  <c r="J5" i="1" a="1"/>
  <c r="J5" i="1" s="1"/>
  <c r="K5" i="1" a="1"/>
  <c r="K5" i="1" s="1"/>
  <c r="L5" i="1" a="1"/>
  <c r="L5" i="1" s="1"/>
  <c r="M5" i="1" a="1"/>
  <c r="M5" i="1" s="1"/>
  <c r="N5" i="1" a="1"/>
  <c r="N5" i="1" s="1"/>
  <c r="O5" i="1" a="1"/>
  <c r="O5" i="1" s="1"/>
  <c r="P5" i="1" a="1"/>
  <c r="P5" i="1" s="1"/>
  <c r="Q5" i="1" a="1"/>
  <c r="Q5" i="1" s="1"/>
  <c r="R5" i="1" a="1"/>
  <c r="R5" i="1" s="1"/>
  <c r="S5" i="1" a="1"/>
  <c r="S5" i="1" s="1"/>
  <c r="T5" i="1" a="1"/>
  <c r="T5" i="1"/>
  <c r="U5" i="1" a="1"/>
  <c r="U5" i="1" s="1"/>
  <c r="V5" i="1" a="1"/>
  <c r="V5" i="1" s="1"/>
  <c r="W5" i="1" a="1"/>
  <c r="W5" i="1" s="1"/>
  <c r="F6" i="1" a="1"/>
  <c r="F6" i="1" s="1"/>
  <c r="G6" i="1" a="1"/>
  <c r="G6" i="1" s="1"/>
  <c r="H6" i="1" a="1"/>
  <c r="H6" i="1" s="1"/>
  <c r="I6" i="1" a="1"/>
  <c r="I6" i="1" s="1"/>
  <c r="J6" i="1" a="1"/>
  <c r="J6" i="1" s="1"/>
  <c r="K6" i="1" a="1"/>
  <c r="K6" i="1" s="1"/>
  <c r="L6" i="1" a="1"/>
  <c r="L6" i="1" s="1"/>
  <c r="M6" i="1" a="1"/>
  <c r="M6" i="1" s="1"/>
  <c r="N6" i="1" a="1"/>
  <c r="N6" i="1" s="1"/>
  <c r="O6" i="1" a="1"/>
  <c r="O6" i="1" s="1"/>
  <c r="P6" i="1" a="1"/>
  <c r="P6" i="1" s="1"/>
  <c r="Q6" i="1" a="1"/>
  <c r="Q6" i="1" s="1"/>
  <c r="R6" i="1" a="1"/>
  <c r="R6" i="1" s="1"/>
  <c r="S6" i="1" a="1"/>
  <c r="S6" i="1" s="1"/>
  <c r="T6" i="1" a="1"/>
  <c r="T6" i="1" s="1"/>
  <c r="U6" i="1" a="1"/>
  <c r="U6" i="1" s="1"/>
  <c r="V6" i="1" a="1"/>
  <c r="V6" i="1" s="1"/>
  <c r="W6" i="1" a="1"/>
  <c r="W6" i="1" s="1"/>
  <c r="F7" i="1" a="1"/>
  <c r="F7" i="1" s="1"/>
  <c r="G7" i="1" a="1"/>
  <c r="G7" i="1" s="1"/>
  <c r="H7" i="1" a="1"/>
  <c r="H7" i="1" s="1"/>
  <c r="I7" i="1" a="1"/>
  <c r="I7" i="1" s="1"/>
  <c r="J7" i="1" a="1"/>
  <c r="J7" i="1" s="1"/>
  <c r="K7" i="1" a="1"/>
  <c r="K7" i="1" s="1"/>
  <c r="L7" i="1" a="1"/>
  <c r="L7" i="1" s="1"/>
  <c r="M7" i="1" a="1"/>
  <c r="M7" i="1" s="1"/>
  <c r="N7" i="1" a="1"/>
  <c r="N7" i="1" s="1"/>
  <c r="O7" i="1" a="1"/>
  <c r="O7" i="1" s="1"/>
  <c r="P7" i="1" a="1"/>
  <c r="P7" i="1" s="1"/>
  <c r="Q7" i="1" a="1"/>
  <c r="Q7" i="1" s="1"/>
  <c r="R7" i="1" a="1"/>
  <c r="R7" i="1" s="1"/>
  <c r="S7" i="1" a="1"/>
  <c r="S7" i="1" s="1"/>
  <c r="T7" i="1" a="1"/>
  <c r="T7" i="1" s="1"/>
  <c r="U7" i="1" a="1"/>
  <c r="U7" i="1" s="1"/>
  <c r="V7" i="1" a="1"/>
  <c r="V7" i="1" s="1"/>
  <c r="W7" i="1" a="1"/>
  <c r="W7" i="1" s="1"/>
  <c r="F8" i="1" a="1"/>
  <c r="F8" i="1" s="1"/>
  <c r="G8" i="1" a="1"/>
  <c r="G8" i="1" s="1"/>
  <c r="H8" i="1" a="1"/>
  <c r="H8" i="1" s="1"/>
  <c r="I8" i="1" a="1"/>
  <c r="I8" i="1" s="1"/>
  <c r="J8" i="1" a="1"/>
  <c r="J8" i="1" s="1"/>
  <c r="K8" i="1" a="1"/>
  <c r="K8" i="1" s="1"/>
  <c r="L8" i="1" a="1"/>
  <c r="L8" i="1" s="1"/>
  <c r="M8" i="1" a="1"/>
  <c r="M8" i="1" s="1"/>
  <c r="N8" i="1" a="1"/>
  <c r="N8" i="1" s="1"/>
  <c r="O8" i="1" a="1"/>
  <c r="O8" i="1" s="1"/>
  <c r="P8" i="1" a="1"/>
  <c r="P8" i="1" s="1"/>
  <c r="Q8" i="1" a="1"/>
  <c r="Q8" i="1" s="1"/>
  <c r="R8" i="1" a="1"/>
  <c r="R8" i="1" s="1"/>
  <c r="S8" i="1" a="1"/>
  <c r="S8" i="1" s="1"/>
  <c r="T8" i="1" a="1"/>
  <c r="T8" i="1" s="1"/>
  <c r="U8" i="1" a="1"/>
  <c r="U8" i="1" s="1"/>
  <c r="V8" i="1" a="1"/>
  <c r="V8" i="1" s="1"/>
  <c r="W8" i="1" a="1"/>
  <c r="W8" i="1" s="1"/>
  <c r="F9" i="1" a="1"/>
  <c r="F9" i="1" s="1"/>
  <c r="G9" i="1" a="1"/>
  <c r="G9" i="1" s="1"/>
  <c r="H9" i="1" a="1"/>
  <c r="H9" i="1" s="1"/>
  <c r="I9" i="1" a="1"/>
  <c r="I9" i="1" s="1"/>
  <c r="J9" i="1" a="1"/>
  <c r="J9" i="1" s="1"/>
  <c r="K9" i="1" a="1"/>
  <c r="K9" i="1" s="1"/>
  <c r="L9" i="1" a="1"/>
  <c r="L9" i="1"/>
  <c r="M9" i="1" a="1"/>
  <c r="M9" i="1" s="1"/>
  <c r="N9" i="1" a="1"/>
  <c r="N9" i="1" s="1"/>
  <c r="O9" i="1" a="1"/>
  <c r="O9" i="1" s="1"/>
  <c r="P9" i="1" a="1"/>
  <c r="P9" i="1" s="1"/>
  <c r="Q9" i="1" a="1"/>
  <c r="Q9" i="1" s="1"/>
  <c r="R9" i="1" a="1"/>
  <c r="R9" i="1" s="1"/>
  <c r="S9" i="1" a="1"/>
  <c r="S9" i="1" s="1"/>
  <c r="T9" i="1" a="1"/>
  <c r="T9" i="1" s="1"/>
  <c r="U9" i="1" a="1"/>
  <c r="U9" i="1" s="1"/>
  <c r="V9" i="1" a="1"/>
  <c r="V9" i="1" s="1"/>
  <c r="W9" i="1" a="1"/>
  <c r="W9" i="1" s="1"/>
  <c r="F10" i="1" a="1"/>
  <c r="F10" i="1" s="1"/>
  <c r="G10" i="1" a="1"/>
  <c r="G10" i="1" s="1"/>
  <c r="H10" i="1" a="1"/>
  <c r="H10" i="1" s="1"/>
  <c r="I10" i="1" a="1"/>
  <c r="I10" i="1" s="1"/>
  <c r="J10" i="1" a="1"/>
  <c r="J10" i="1"/>
  <c r="K10" i="1" a="1"/>
  <c r="K10" i="1" s="1"/>
  <c r="L10" i="1" a="1"/>
  <c r="L10" i="1" s="1"/>
  <c r="M10" i="1" a="1"/>
  <c r="M10" i="1" s="1"/>
  <c r="N10" i="1" a="1"/>
  <c r="N10" i="1" s="1"/>
  <c r="O10" i="1" a="1"/>
  <c r="O10" i="1" s="1"/>
  <c r="P10" i="1" a="1"/>
  <c r="P10" i="1" s="1"/>
  <c r="Q10" i="1" a="1"/>
  <c r="Q10" i="1" s="1"/>
  <c r="R10" i="1" a="1"/>
  <c r="R10" i="1" s="1"/>
  <c r="S10" i="1" a="1"/>
  <c r="S10" i="1" s="1"/>
  <c r="T10" i="1" a="1"/>
  <c r="T10" i="1" s="1"/>
  <c r="U10" i="1" a="1"/>
  <c r="U10" i="1" s="1"/>
  <c r="V10" i="1" a="1"/>
  <c r="V10" i="1" s="1"/>
  <c r="W10" i="1" a="1"/>
  <c r="W10" i="1" s="1"/>
  <c r="F11" i="1" a="1"/>
  <c r="F11" i="1" s="1"/>
  <c r="G11" i="1" a="1"/>
  <c r="G11" i="1" s="1"/>
  <c r="H11" i="1" a="1"/>
  <c r="H11" i="1"/>
  <c r="I11" i="1" a="1"/>
  <c r="I11" i="1" s="1"/>
  <c r="J11" i="1" a="1"/>
  <c r="J11" i="1" s="1"/>
  <c r="K11" i="1" a="1"/>
  <c r="K11" i="1" s="1"/>
  <c r="L11" i="1" a="1"/>
  <c r="L11" i="1" s="1"/>
  <c r="M11" i="1" a="1"/>
  <c r="M11" i="1" s="1"/>
  <c r="N11" i="1" a="1"/>
  <c r="N11" i="1" s="1"/>
  <c r="O11" i="1" a="1"/>
  <c r="O11" i="1" s="1"/>
  <c r="P11" i="1" a="1"/>
  <c r="P11" i="1" s="1"/>
  <c r="Q11" i="1" a="1"/>
  <c r="Q11" i="1" s="1"/>
  <c r="R11" i="1" a="1"/>
  <c r="R11" i="1" s="1"/>
  <c r="S11" i="1" a="1"/>
  <c r="S11" i="1" s="1"/>
  <c r="T11" i="1" a="1"/>
  <c r="T11" i="1" s="1"/>
  <c r="U11" i="1" a="1"/>
  <c r="U11" i="1" s="1"/>
  <c r="V11" i="1" a="1"/>
  <c r="V11" i="1" s="1"/>
  <c r="W11" i="1" a="1"/>
  <c r="W11" i="1" s="1"/>
  <c r="F12" i="1" a="1"/>
  <c r="F12" i="1"/>
  <c r="G12" i="1" a="1"/>
  <c r="G12" i="1" s="1"/>
  <c r="H12" i="1" a="1"/>
  <c r="H12" i="1" s="1"/>
  <c r="I12" i="1" a="1"/>
  <c r="I12" i="1" s="1"/>
  <c r="J12" i="1" a="1"/>
  <c r="J12" i="1" s="1"/>
  <c r="K12" i="1" a="1"/>
  <c r="K12" i="1" s="1"/>
  <c r="L12" i="1" a="1"/>
  <c r="L12" i="1" s="1"/>
  <c r="M12" i="1" a="1"/>
  <c r="M12" i="1" s="1"/>
  <c r="N12" i="1" a="1"/>
  <c r="N12" i="1" s="1"/>
  <c r="O12" i="1" a="1"/>
  <c r="O12" i="1" s="1"/>
  <c r="P12" i="1" a="1"/>
  <c r="P12" i="1" s="1"/>
  <c r="Q12" i="1" a="1"/>
  <c r="Q12" i="1" s="1"/>
  <c r="R12" i="1" a="1"/>
  <c r="R12" i="1" s="1"/>
  <c r="S12" i="1" a="1"/>
  <c r="S12" i="1" s="1"/>
  <c r="T12" i="1" a="1"/>
  <c r="T12" i="1" s="1"/>
  <c r="U12" i="1" a="1"/>
  <c r="U12" i="1" s="1"/>
  <c r="V12" i="1" a="1"/>
  <c r="V12" i="1"/>
  <c r="W12" i="1" a="1"/>
  <c r="W12" i="1" s="1"/>
  <c r="F13" i="1" a="1"/>
  <c r="F13" i="1" s="1"/>
  <c r="G13" i="1" a="1"/>
  <c r="G13" i="1" s="1"/>
  <c r="H13" i="1" a="1"/>
  <c r="H13" i="1" s="1"/>
  <c r="I13" i="1" a="1"/>
  <c r="I13" i="1" s="1"/>
  <c r="J13" i="1" a="1"/>
  <c r="J13" i="1" s="1"/>
  <c r="K13" i="1" a="1"/>
  <c r="K13" i="1" s="1"/>
  <c r="L13" i="1" a="1"/>
  <c r="L13" i="1" s="1"/>
  <c r="M13" i="1" a="1"/>
  <c r="M13" i="1" s="1"/>
  <c r="N13" i="1" a="1"/>
  <c r="N13" i="1" s="1"/>
  <c r="O13" i="1" a="1"/>
  <c r="O13" i="1" s="1"/>
  <c r="P13" i="1" a="1"/>
  <c r="P13" i="1" s="1"/>
  <c r="Q13" i="1" a="1"/>
  <c r="Q13" i="1" s="1"/>
  <c r="R13" i="1" a="1"/>
  <c r="R13" i="1" s="1"/>
  <c r="S13" i="1" a="1"/>
  <c r="S13" i="1" s="1"/>
  <c r="T13" i="1" a="1"/>
  <c r="T13" i="1" s="1"/>
  <c r="U13" i="1" a="1"/>
  <c r="U13" i="1" s="1"/>
  <c r="V13" i="1" a="1"/>
  <c r="V13" i="1" s="1"/>
  <c r="W13" i="1" a="1"/>
  <c r="W13" i="1" s="1"/>
  <c r="F14" i="1" a="1"/>
  <c r="F14" i="1" s="1"/>
  <c r="G14" i="1" a="1"/>
  <c r="G14" i="1" s="1"/>
  <c r="H14" i="1" a="1"/>
  <c r="H14" i="1" s="1"/>
  <c r="I14" i="1" a="1"/>
  <c r="I14" i="1" s="1"/>
  <c r="J14" i="1" a="1"/>
  <c r="J14" i="1" s="1"/>
  <c r="K14" i="1" a="1"/>
  <c r="K14" i="1" s="1"/>
  <c r="L14" i="1" a="1"/>
  <c r="L14" i="1" s="1"/>
  <c r="M14" i="1" a="1"/>
  <c r="M14" i="1" s="1"/>
  <c r="N14" i="1" a="1"/>
  <c r="N14" i="1" s="1"/>
  <c r="O14" i="1" a="1"/>
  <c r="O14" i="1" s="1"/>
  <c r="P14" i="1" a="1"/>
  <c r="P14" i="1" s="1"/>
  <c r="Q14" i="1" a="1"/>
  <c r="Q14" i="1" s="1"/>
  <c r="R14" i="1" a="1"/>
  <c r="R14" i="1" s="1"/>
  <c r="S14" i="1" a="1"/>
  <c r="S14" i="1" s="1"/>
  <c r="T14" i="1" a="1"/>
  <c r="T14" i="1" s="1"/>
  <c r="U14" i="1" a="1"/>
  <c r="U14" i="1" s="1"/>
  <c r="V14" i="1" a="1"/>
  <c r="V14" i="1" s="1"/>
  <c r="W14" i="1" a="1"/>
  <c r="W14" i="1" s="1"/>
  <c r="F15" i="1" a="1"/>
  <c r="F15" i="1" s="1"/>
  <c r="G15" i="1" a="1"/>
  <c r="G15" i="1" s="1"/>
  <c r="H15" i="1" a="1"/>
  <c r="H15" i="1" s="1"/>
  <c r="I15" i="1" a="1"/>
  <c r="I15" i="1" s="1"/>
  <c r="J15" i="1" a="1"/>
  <c r="J15" i="1" s="1"/>
  <c r="K15" i="1" a="1"/>
  <c r="K15" i="1" s="1"/>
  <c r="L15" i="1" a="1"/>
  <c r="L15" i="1" s="1"/>
  <c r="M15" i="1" a="1"/>
  <c r="M15" i="1" s="1"/>
  <c r="N15" i="1" a="1"/>
  <c r="N15" i="1" s="1"/>
  <c r="O15" i="1" a="1"/>
  <c r="O15" i="1" s="1"/>
  <c r="P15" i="1" a="1"/>
  <c r="P15" i="1" s="1"/>
  <c r="Q15" i="1" a="1"/>
  <c r="Q15" i="1" s="1"/>
  <c r="R15" i="1" a="1"/>
  <c r="R15" i="1" s="1"/>
  <c r="S15" i="1" a="1"/>
  <c r="S15" i="1" s="1"/>
  <c r="T15" i="1" a="1"/>
  <c r="T15" i="1" s="1"/>
  <c r="U15" i="1" a="1"/>
  <c r="U15" i="1" s="1"/>
  <c r="V15" i="1" a="1"/>
  <c r="V15" i="1" s="1"/>
  <c r="W15" i="1" a="1"/>
  <c r="W15" i="1" s="1"/>
  <c r="F16" i="1" a="1"/>
  <c r="F16" i="1" s="1"/>
  <c r="G16" i="1" a="1"/>
  <c r="G16" i="1" s="1"/>
  <c r="H16" i="1" a="1"/>
  <c r="H16" i="1" s="1"/>
  <c r="I16" i="1" a="1"/>
  <c r="I16" i="1" s="1"/>
  <c r="J16" i="1" a="1"/>
  <c r="J16" i="1" s="1"/>
  <c r="K16" i="1" a="1"/>
  <c r="K16" i="1" s="1"/>
  <c r="L16" i="1" a="1"/>
  <c r="L16" i="1" s="1"/>
  <c r="M16" i="1" a="1"/>
  <c r="M16" i="1" s="1"/>
  <c r="N16" i="1" a="1"/>
  <c r="N16" i="1" s="1"/>
  <c r="O16" i="1" a="1"/>
  <c r="O16" i="1" s="1"/>
  <c r="P16" i="1" a="1"/>
  <c r="P16" i="1" s="1"/>
  <c r="Q16" i="1" a="1"/>
  <c r="Q16" i="1" s="1"/>
  <c r="R16" i="1" a="1"/>
  <c r="R16" i="1" s="1"/>
  <c r="S16" i="1" a="1"/>
  <c r="S16" i="1" s="1"/>
  <c r="T16" i="1" a="1"/>
  <c r="T16" i="1" s="1"/>
  <c r="U16" i="1" a="1"/>
  <c r="U16" i="1" s="1"/>
  <c r="V16" i="1" a="1"/>
  <c r="V16" i="1" s="1"/>
  <c r="W16" i="1" a="1"/>
  <c r="W16" i="1" s="1"/>
  <c r="F17" i="1" a="1"/>
  <c r="F17" i="1" s="1"/>
  <c r="G17" i="1" a="1"/>
  <c r="G17" i="1" s="1"/>
  <c r="H17" i="1" a="1"/>
  <c r="H17" i="1" s="1"/>
  <c r="I17" i="1" a="1"/>
  <c r="I17" i="1" s="1"/>
  <c r="J17" i="1" a="1"/>
  <c r="J17" i="1" s="1"/>
  <c r="K17" i="1" a="1"/>
  <c r="K17" i="1" s="1"/>
  <c r="L17" i="1" a="1"/>
  <c r="L17" i="1" s="1"/>
  <c r="M17" i="1" a="1"/>
  <c r="M17" i="1" s="1"/>
  <c r="N17" i="1" a="1"/>
  <c r="N17" i="1" s="1"/>
  <c r="O17" i="1" a="1"/>
  <c r="O17" i="1" s="1"/>
  <c r="P17" i="1" a="1"/>
  <c r="P17" i="1" s="1"/>
  <c r="Q17" i="1" a="1"/>
  <c r="Q17" i="1" s="1"/>
  <c r="R17" i="1" a="1"/>
  <c r="R17" i="1" s="1"/>
  <c r="S17" i="1" a="1"/>
  <c r="S17" i="1" s="1"/>
  <c r="T17" i="1" a="1"/>
  <c r="T17" i="1" s="1"/>
  <c r="U17" i="1" a="1"/>
  <c r="U17" i="1" s="1"/>
  <c r="V17" i="1" a="1"/>
  <c r="V17" i="1" s="1"/>
  <c r="W17" i="1" a="1"/>
  <c r="W17" i="1" s="1"/>
  <c r="F18" i="1" a="1"/>
  <c r="F18" i="1" s="1"/>
  <c r="G18" i="1" a="1"/>
  <c r="G18" i="1" s="1"/>
  <c r="H18" i="1" a="1"/>
  <c r="H18" i="1" s="1"/>
  <c r="I18" i="1" a="1"/>
  <c r="I18" i="1" s="1"/>
  <c r="J18" i="1" a="1"/>
  <c r="J18" i="1" s="1"/>
  <c r="K18" i="1" a="1"/>
  <c r="K18" i="1" s="1"/>
  <c r="L18" i="1" a="1"/>
  <c r="L18" i="1" s="1"/>
  <c r="M18" i="1" a="1"/>
  <c r="M18" i="1" s="1"/>
  <c r="N18" i="1" a="1"/>
  <c r="N18" i="1" s="1"/>
  <c r="O18" i="1" a="1"/>
  <c r="O18" i="1" s="1"/>
  <c r="P18" i="1" a="1"/>
  <c r="P18" i="1" s="1"/>
  <c r="Q18" i="1" a="1"/>
  <c r="Q18" i="1" s="1"/>
  <c r="R18" i="1" a="1"/>
  <c r="R18" i="1" s="1"/>
  <c r="S18" i="1" a="1"/>
  <c r="S18" i="1" s="1"/>
  <c r="T18" i="1" a="1"/>
  <c r="T18" i="1" s="1"/>
  <c r="U18" i="1" a="1"/>
  <c r="U18" i="1" s="1"/>
  <c r="V18" i="1" a="1"/>
  <c r="V18" i="1" s="1"/>
  <c r="W18" i="1" a="1"/>
  <c r="W18" i="1" s="1"/>
  <c r="F19" i="1" a="1"/>
  <c r="F19" i="1" s="1"/>
  <c r="G19" i="1" a="1"/>
  <c r="G19" i="1" s="1"/>
  <c r="H19" i="1" a="1"/>
  <c r="H19" i="1" s="1"/>
  <c r="I19" i="1" a="1"/>
  <c r="I19" i="1" s="1"/>
  <c r="J19" i="1" a="1"/>
  <c r="J19" i="1" s="1"/>
  <c r="K19" i="1" a="1"/>
  <c r="K19" i="1" s="1"/>
  <c r="L19" i="1" a="1"/>
  <c r="L19" i="1" s="1"/>
  <c r="M19" i="1" a="1"/>
  <c r="M19" i="1" s="1"/>
  <c r="N19" i="1" a="1"/>
  <c r="N19" i="1" s="1"/>
  <c r="O19" i="1" a="1"/>
  <c r="O19" i="1" s="1"/>
  <c r="P19" i="1" a="1"/>
  <c r="P19" i="1" s="1"/>
  <c r="Q19" i="1" a="1"/>
  <c r="Q19" i="1" s="1"/>
  <c r="R19" i="1" a="1"/>
  <c r="R19" i="1" s="1"/>
  <c r="S19" i="1" a="1"/>
  <c r="S19" i="1" s="1"/>
  <c r="T19" i="1" a="1"/>
  <c r="T19" i="1" s="1"/>
  <c r="U19" i="1" a="1"/>
  <c r="U19" i="1" s="1"/>
  <c r="V19" i="1" a="1"/>
  <c r="V19" i="1" s="1"/>
  <c r="W19" i="1" a="1"/>
  <c r="W19" i="1" s="1"/>
  <c r="F20" i="1" a="1"/>
  <c r="F20" i="1" s="1"/>
  <c r="G20" i="1" a="1"/>
  <c r="G20" i="1" s="1"/>
  <c r="H20" i="1" a="1"/>
  <c r="H20" i="1" s="1"/>
  <c r="I20" i="1" a="1"/>
  <c r="I20" i="1" s="1"/>
  <c r="J20" i="1" a="1"/>
  <c r="J20" i="1" s="1"/>
  <c r="K20" i="1" a="1"/>
  <c r="K20" i="1" s="1"/>
  <c r="L20" i="1" a="1"/>
  <c r="L20" i="1" s="1"/>
  <c r="M20" i="1" a="1"/>
  <c r="M20" i="1" s="1"/>
  <c r="N20" i="1" a="1"/>
  <c r="N20" i="1" s="1"/>
  <c r="O20" i="1" a="1"/>
  <c r="O20" i="1" s="1"/>
  <c r="P20" i="1" a="1"/>
  <c r="P20" i="1" s="1"/>
  <c r="Q20" i="1" a="1"/>
  <c r="Q20" i="1" s="1"/>
  <c r="R20" i="1" a="1"/>
  <c r="R20" i="1" s="1"/>
  <c r="S20" i="1" a="1"/>
  <c r="S20" i="1" s="1"/>
  <c r="T20" i="1" a="1"/>
  <c r="T20" i="1" s="1"/>
  <c r="U20" i="1" a="1"/>
  <c r="U20" i="1" s="1"/>
  <c r="V20" i="1" a="1"/>
  <c r="V20" i="1" s="1"/>
  <c r="W20" i="1" a="1"/>
  <c r="W20" i="1" s="1"/>
  <c r="F21" i="1" a="1"/>
  <c r="F21" i="1" s="1"/>
  <c r="G21" i="1" a="1"/>
  <c r="G21" i="1" s="1"/>
  <c r="H21" i="1" a="1"/>
  <c r="H21" i="1" s="1"/>
  <c r="I21" i="1" a="1"/>
  <c r="I21" i="1" s="1"/>
  <c r="J21" i="1" a="1"/>
  <c r="J21" i="1" s="1"/>
  <c r="K21" i="1" a="1"/>
  <c r="K21" i="1" s="1"/>
  <c r="L21" i="1" a="1"/>
  <c r="L21" i="1" s="1"/>
  <c r="M21" i="1" a="1"/>
  <c r="M21" i="1" s="1"/>
  <c r="N21" i="1" a="1"/>
  <c r="N21" i="1" s="1"/>
  <c r="O21" i="1" a="1"/>
  <c r="O21" i="1" s="1"/>
  <c r="P21" i="1" a="1"/>
  <c r="P21" i="1" s="1"/>
  <c r="Q21" i="1" a="1"/>
  <c r="Q21" i="1" s="1"/>
  <c r="R21" i="1" a="1"/>
  <c r="R21" i="1" s="1"/>
  <c r="S21" i="1" a="1"/>
  <c r="S21" i="1" s="1"/>
  <c r="T21" i="1" a="1"/>
  <c r="T21" i="1" s="1"/>
  <c r="U21" i="1" a="1"/>
  <c r="U21" i="1" s="1"/>
  <c r="V21" i="1" a="1"/>
  <c r="V21" i="1" s="1"/>
  <c r="W21" i="1" a="1"/>
  <c r="W21" i="1" s="1"/>
  <c r="F22" i="1" a="1"/>
  <c r="F22" i="1" s="1"/>
  <c r="G22" i="1" a="1"/>
  <c r="G22" i="1" s="1"/>
  <c r="H22" i="1" a="1"/>
  <c r="H22" i="1" s="1"/>
  <c r="I22" i="1" a="1"/>
  <c r="I22" i="1" s="1"/>
  <c r="J22" i="1" a="1"/>
  <c r="J22" i="1" s="1"/>
  <c r="K22" i="1" a="1"/>
  <c r="K22" i="1" s="1"/>
  <c r="L22" i="1" a="1"/>
  <c r="L22" i="1" s="1"/>
  <c r="M22" i="1" a="1"/>
  <c r="M22" i="1" s="1"/>
  <c r="N22" i="1" a="1"/>
  <c r="N22" i="1" s="1"/>
  <c r="O22" i="1" a="1"/>
  <c r="O22" i="1" s="1"/>
  <c r="P22" i="1" a="1"/>
  <c r="P22" i="1" s="1"/>
  <c r="Q22" i="1" a="1"/>
  <c r="Q22" i="1" s="1"/>
  <c r="R22" i="1" a="1"/>
  <c r="R22" i="1" s="1"/>
  <c r="S22" i="1" a="1"/>
  <c r="S22" i="1" s="1"/>
  <c r="T22" i="1" a="1"/>
  <c r="T22" i="1" s="1"/>
  <c r="U22" i="1" a="1"/>
  <c r="U22" i="1" s="1"/>
  <c r="V22" i="1" a="1"/>
  <c r="V22" i="1" s="1"/>
  <c r="W22" i="1" a="1"/>
  <c r="W22" i="1" s="1"/>
  <c r="F23" i="1" a="1"/>
  <c r="F23" i="1" s="1"/>
  <c r="G23" i="1" a="1"/>
  <c r="G23" i="1" s="1"/>
  <c r="H23" i="1" a="1"/>
  <c r="H23" i="1" s="1"/>
  <c r="I23" i="1" a="1"/>
  <c r="I23" i="1" s="1"/>
  <c r="J23" i="1" a="1"/>
  <c r="J23" i="1" s="1"/>
  <c r="K23" i="1" a="1"/>
  <c r="K23" i="1" s="1"/>
  <c r="L23" i="1" a="1"/>
  <c r="L23" i="1" s="1"/>
  <c r="M23" i="1" a="1"/>
  <c r="M23" i="1" s="1"/>
  <c r="N23" i="1" a="1"/>
  <c r="N23" i="1" s="1"/>
  <c r="O23" i="1" a="1"/>
  <c r="O23" i="1" s="1"/>
  <c r="P23" i="1" a="1"/>
  <c r="P23" i="1" s="1"/>
  <c r="Q23" i="1" a="1"/>
  <c r="Q23" i="1" s="1"/>
  <c r="R23" i="1" a="1"/>
  <c r="R23" i="1" s="1"/>
  <c r="S23" i="1" a="1"/>
  <c r="S23" i="1" s="1"/>
  <c r="T23" i="1" a="1"/>
  <c r="T23" i="1" s="1"/>
  <c r="U23" i="1" a="1"/>
  <c r="U23" i="1" s="1"/>
  <c r="V23" i="1" a="1"/>
  <c r="V23" i="1" s="1"/>
  <c r="W23" i="1" a="1"/>
  <c r="W23" i="1" s="1"/>
  <c r="F24" i="1" a="1"/>
  <c r="F24" i="1" s="1"/>
  <c r="G24" i="1" a="1"/>
  <c r="G24" i="1" s="1"/>
  <c r="H24" i="1" a="1"/>
  <c r="H24" i="1" s="1"/>
  <c r="I24" i="1" a="1"/>
  <c r="I24" i="1" s="1"/>
  <c r="J24" i="1" a="1"/>
  <c r="J24" i="1" s="1"/>
  <c r="K24" i="1" a="1"/>
  <c r="K24" i="1" s="1"/>
  <c r="L24" i="1" a="1"/>
  <c r="L24" i="1" s="1"/>
  <c r="M24" i="1" a="1"/>
  <c r="M24" i="1" s="1"/>
  <c r="N24" i="1" a="1"/>
  <c r="N24" i="1" s="1"/>
  <c r="O24" i="1" a="1"/>
  <c r="O24" i="1" s="1"/>
  <c r="P24" i="1" a="1"/>
  <c r="P24" i="1" s="1"/>
  <c r="Q24" i="1" a="1"/>
  <c r="Q24" i="1" s="1"/>
  <c r="R24" i="1" a="1"/>
  <c r="R24" i="1" s="1"/>
  <c r="S24" i="1" a="1"/>
  <c r="S24" i="1" s="1"/>
  <c r="T24" i="1" a="1"/>
  <c r="T24" i="1" s="1"/>
  <c r="U24" i="1" a="1"/>
  <c r="U24" i="1" s="1"/>
  <c r="V24" i="1" a="1"/>
  <c r="V24" i="1" s="1"/>
  <c r="W24" i="1" a="1"/>
  <c r="W24" i="1" s="1"/>
  <c r="E6" i="1" a="1"/>
  <c r="E6" i="1" s="1"/>
  <c r="E7" i="1" a="1"/>
  <c r="E7" i="1" s="1"/>
  <c r="E8" i="1" a="1"/>
  <c r="E8" i="1" s="1"/>
  <c r="E9" i="1" a="1"/>
  <c r="E9" i="1" s="1"/>
  <c r="E10" i="1" a="1"/>
  <c r="E10" i="1" s="1"/>
  <c r="E11" i="1" a="1"/>
  <c r="E11" i="1" s="1"/>
  <c r="E12" i="1" a="1"/>
  <c r="E12" i="1" s="1"/>
  <c r="E13" i="1" a="1"/>
  <c r="E13" i="1" s="1"/>
  <c r="E14" i="1" a="1"/>
  <c r="E14" i="1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5" i="1" a="1"/>
  <c r="E5" i="1" s="1"/>
  <c r="M4" i="2" a="1"/>
  <c r="M4" i="2" s="1"/>
  <c r="N4" i="2" a="1"/>
  <c r="N4" i="2" s="1"/>
  <c r="O4" i="2" a="1"/>
  <c r="O4" i="2" s="1"/>
  <c r="P4" i="2" a="1"/>
  <c r="P4" i="2" s="1"/>
  <c r="Q4" i="2" a="1"/>
  <c r="Q4" i="2" s="1"/>
  <c r="R4" i="2" a="1"/>
  <c r="R4" i="2" s="1"/>
  <c r="S4" i="2" a="1"/>
  <c r="S4" i="2" s="1"/>
  <c r="T4" i="2" a="1"/>
  <c r="T4" i="2" s="1"/>
  <c r="U4" i="2" a="1"/>
  <c r="U4" i="2" s="1"/>
  <c r="V4" i="2" a="1"/>
  <c r="V4" i="2" s="1"/>
  <c r="W4" i="2" a="1"/>
  <c r="W4" i="2" s="1"/>
  <c r="X4" i="2" a="1"/>
  <c r="X4" i="2" s="1"/>
  <c r="Y4" i="2" a="1"/>
  <c r="Y4" i="2" s="1"/>
  <c r="Z4" i="2" a="1"/>
  <c r="Z4" i="2" s="1"/>
  <c r="AA4" i="2" a="1"/>
  <c r="AA4" i="2" s="1"/>
  <c r="AB4" i="2" a="1"/>
  <c r="AB4" i="2" s="1"/>
  <c r="AC4" i="2" a="1"/>
  <c r="AC4" i="2" s="1"/>
  <c r="AD4" i="2" a="1"/>
  <c r="AD4" i="2" s="1"/>
  <c r="AE4" i="2" a="1"/>
  <c r="AE4" i="2" s="1"/>
  <c r="M5" i="2" a="1"/>
  <c r="M5" i="2" s="1"/>
  <c r="N5" i="2" a="1"/>
  <c r="N5" i="2" s="1"/>
  <c r="O5" i="2" a="1"/>
  <c r="O5" i="2" s="1"/>
  <c r="P5" i="2" a="1"/>
  <c r="P5" i="2" s="1"/>
  <c r="Q5" i="2" a="1"/>
  <c r="Q5" i="2" s="1"/>
  <c r="R5" i="2" a="1"/>
  <c r="R5" i="2" s="1"/>
  <c r="S5" i="2" a="1"/>
  <c r="S5" i="2" s="1"/>
  <c r="T5" i="2" a="1"/>
  <c r="T5" i="2" s="1"/>
  <c r="U5" i="2" a="1"/>
  <c r="U5" i="2" s="1"/>
  <c r="V5" i="2" a="1"/>
  <c r="V5" i="2" s="1"/>
  <c r="W5" i="2" a="1"/>
  <c r="W5" i="2" s="1"/>
  <c r="X5" i="2" a="1"/>
  <c r="X5" i="2" s="1"/>
  <c r="Y5" i="2" a="1"/>
  <c r="Y5" i="2" s="1"/>
  <c r="Z5" i="2" a="1"/>
  <c r="Z5" i="2" s="1"/>
  <c r="AA5" i="2" a="1"/>
  <c r="AA5" i="2" s="1"/>
  <c r="AB5" i="2" a="1"/>
  <c r="AB5" i="2" s="1"/>
  <c r="AC5" i="2" a="1"/>
  <c r="AC5" i="2" s="1"/>
  <c r="AD5" i="2" a="1"/>
  <c r="AD5" i="2" s="1"/>
  <c r="AE5" i="2" a="1"/>
  <c r="AE5" i="2" s="1"/>
  <c r="M6" i="2" a="1"/>
  <c r="M6" i="2" s="1"/>
  <c r="N6" i="2" a="1"/>
  <c r="N6" i="2" s="1"/>
  <c r="O6" i="2" a="1"/>
  <c r="O6" i="2" s="1"/>
  <c r="P6" i="2" a="1"/>
  <c r="P6" i="2" s="1"/>
  <c r="Q6" i="2" a="1"/>
  <c r="Q6" i="2" s="1"/>
  <c r="R6" i="2" a="1"/>
  <c r="R6" i="2" s="1"/>
  <c r="S6" i="2" a="1"/>
  <c r="S6" i="2" s="1"/>
  <c r="T6" i="2" a="1"/>
  <c r="T6" i="2" s="1"/>
  <c r="U6" i="2" a="1"/>
  <c r="U6" i="2" s="1"/>
  <c r="V6" i="2" a="1"/>
  <c r="V6" i="2" s="1"/>
  <c r="W6" i="2" a="1"/>
  <c r="W6" i="2" s="1"/>
  <c r="X6" i="2" a="1"/>
  <c r="X6" i="2" s="1"/>
  <c r="Y6" i="2" a="1"/>
  <c r="Y6" i="2" s="1"/>
  <c r="Z6" i="2" a="1"/>
  <c r="Z6" i="2" s="1"/>
  <c r="AA6" i="2" a="1"/>
  <c r="AA6" i="2" s="1"/>
  <c r="AB6" i="2" a="1"/>
  <c r="AB6" i="2" s="1"/>
  <c r="AC6" i="2" a="1"/>
  <c r="AC6" i="2" s="1"/>
  <c r="AD6" i="2" a="1"/>
  <c r="AD6" i="2" s="1"/>
  <c r="AE6" i="2" a="1"/>
  <c r="AE6" i="2" s="1"/>
  <c r="M7" i="2" a="1"/>
  <c r="M7" i="2" s="1"/>
  <c r="N7" i="2" a="1"/>
  <c r="N7" i="2" s="1"/>
  <c r="O7" i="2" a="1"/>
  <c r="O7" i="2" s="1"/>
  <c r="P7" i="2" a="1"/>
  <c r="P7" i="2" s="1"/>
  <c r="Q7" i="2" a="1"/>
  <c r="Q7" i="2" s="1"/>
  <c r="R7" i="2" a="1"/>
  <c r="R7" i="2" s="1"/>
  <c r="S7" i="2" a="1"/>
  <c r="S7" i="2" s="1"/>
  <c r="T7" i="2" a="1"/>
  <c r="T7" i="2" s="1"/>
  <c r="U7" i="2" a="1"/>
  <c r="U7" i="2" s="1"/>
  <c r="V7" i="2" a="1"/>
  <c r="V7" i="2" s="1"/>
  <c r="W7" i="2" a="1"/>
  <c r="W7" i="2" s="1"/>
  <c r="X7" i="2" a="1"/>
  <c r="X7" i="2" s="1"/>
  <c r="Y7" i="2" a="1"/>
  <c r="Y7" i="2" s="1"/>
  <c r="Z7" i="2" a="1"/>
  <c r="Z7" i="2" s="1"/>
  <c r="AA7" i="2" a="1"/>
  <c r="AA7" i="2" s="1"/>
  <c r="AB7" i="2" a="1"/>
  <c r="AB7" i="2" s="1"/>
  <c r="AC7" i="2" a="1"/>
  <c r="AC7" i="2" s="1"/>
  <c r="AD7" i="2" a="1"/>
  <c r="AD7" i="2" s="1"/>
  <c r="AE7" i="2" a="1"/>
  <c r="AE7" i="2" s="1"/>
  <c r="M8" i="2" a="1"/>
  <c r="M8" i="2" s="1"/>
  <c r="N8" i="2" a="1"/>
  <c r="N8" i="2" s="1"/>
  <c r="O8" i="2" a="1"/>
  <c r="O8" i="2" s="1"/>
  <c r="P8" i="2" a="1"/>
  <c r="P8" i="2" s="1"/>
  <c r="Q8" i="2" a="1"/>
  <c r="Q8" i="2" s="1"/>
  <c r="R8" i="2" a="1"/>
  <c r="R8" i="2" s="1"/>
  <c r="S8" i="2" a="1"/>
  <c r="S8" i="2" s="1"/>
  <c r="T8" i="2" a="1"/>
  <c r="T8" i="2" s="1"/>
  <c r="U8" i="2" a="1"/>
  <c r="U8" i="2" s="1"/>
  <c r="V8" i="2" a="1"/>
  <c r="V8" i="2" s="1"/>
  <c r="W8" i="2" a="1"/>
  <c r="W8" i="2" s="1"/>
  <c r="X8" i="2" a="1"/>
  <c r="X8" i="2" s="1"/>
  <c r="Y8" i="2" a="1"/>
  <c r="Y8" i="2" s="1"/>
  <c r="Z8" i="2" a="1"/>
  <c r="Z8" i="2" s="1"/>
  <c r="AA8" i="2" a="1"/>
  <c r="AA8" i="2" s="1"/>
  <c r="AB8" i="2" a="1"/>
  <c r="AB8" i="2" s="1"/>
  <c r="AC8" i="2" a="1"/>
  <c r="AC8" i="2" s="1"/>
  <c r="AD8" i="2" a="1"/>
  <c r="AD8" i="2" s="1"/>
  <c r="AE8" i="2" a="1"/>
  <c r="AE8" i="2" s="1"/>
  <c r="M9" i="2" a="1"/>
  <c r="M9" i="2" s="1"/>
  <c r="N9" i="2" a="1"/>
  <c r="N9" i="2" s="1"/>
  <c r="O9" i="2" a="1"/>
  <c r="O9" i="2" s="1"/>
  <c r="P9" i="2" a="1"/>
  <c r="P9" i="2" s="1"/>
  <c r="Q9" i="2" a="1"/>
  <c r="Q9" i="2" s="1"/>
  <c r="R9" i="2" a="1"/>
  <c r="R9" i="2" s="1"/>
  <c r="S9" i="2" a="1"/>
  <c r="S9" i="2" s="1"/>
  <c r="T9" i="2" a="1"/>
  <c r="T9" i="2" s="1"/>
  <c r="U9" i="2" a="1"/>
  <c r="U9" i="2" s="1"/>
  <c r="V9" i="2" a="1"/>
  <c r="V9" i="2" s="1"/>
  <c r="W9" i="2" a="1"/>
  <c r="W9" i="2" s="1"/>
  <c r="X9" i="2" a="1"/>
  <c r="X9" i="2" s="1"/>
  <c r="Y9" i="2" a="1"/>
  <c r="Y9" i="2" s="1"/>
  <c r="Z9" i="2" a="1"/>
  <c r="Z9" i="2" s="1"/>
  <c r="AA9" i="2" a="1"/>
  <c r="AA9" i="2" s="1"/>
  <c r="AB9" i="2" a="1"/>
  <c r="AB9" i="2" s="1"/>
  <c r="AC9" i="2" a="1"/>
  <c r="AC9" i="2" s="1"/>
  <c r="AD9" i="2" a="1"/>
  <c r="AD9" i="2" s="1"/>
  <c r="AE9" i="2" a="1"/>
  <c r="AE9" i="2" s="1"/>
  <c r="M10" i="2" a="1"/>
  <c r="M10" i="2" s="1"/>
  <c r="N10" i="2" a="1"/>
  <c r="N10" i="2" s="1"/>
  <c r="O10" i="2" a="1"/>
  <c r="O10" i="2" s="1"/>
  <c r="P10" i="2" a="1"/>
  <c r="P10" i="2" s="1"/>
  <c r="Q10" i="2" a="1"/>
  <c r="Q10" i="2" s="1"/>
  <c r="R10" i="2" a="1"/>
  <c r="R10" i="2" s="1"/>
  <c r="S10" i="2" a="1"/>
  <c r="S10" i="2" s="1"/>
  <c r="T10" i="2" a="1"/>
  <c r="T10" i="2" s="1"/>
  <c r="U10" i="2" a="1"/>
  <c r="U10" i="2" s="1"/>
  <c r="V10" i="2" a="1"/>
  <c r="V10" i="2" s="1"/>
  <c r="W10" i="2" a="1"/>
  <c r="W10" i="2" s="1"/>
  <c r="X10" i="2" a="1"/>
  <c r="X10" i="2" s="1"/>
  <c r="Y10" i="2" a="1"/>
  <c r="Y10" i="2" s="1"/>
  <c r="Z10" i="2" a="1"/>
  <c r="Z10" i="2" s="1"/>
  <c r="AA10" i="2" a="1"/>
  <c r="AA10" i="2" s="1"/>
  <c r="AB10" i="2" a="1"/>
  <c r="AB10" i="2" s="1"/>
  <c r="AC10" i="2" a="1"/>
  <c r="AC10" i="2" s="1"/>
  <c r="AD10" i="2" a="1"/>
  <c r="AD10" i="2" s="1"/>
  <c r="AE10" i="2" a="1"/>
  <c r="AE10" i="2" s="1"/>
  <c r="M11" i="2" a="1"/>
  <c r="M11" i="2" s="1"/>
  <c r="N11" i="2" a="1"/>
  <c r="N11" i="2" s="1"/>
  <c r="O11" i="2" a="1"/>
  <c r="O11" i="2" s="1"/>
  <c r="P11" i="2" a="1"/>
  <c r="P11" i="2" s="1"/>
  <c r="Q11" i="2" a="1"/>
  <c r="Q11" i="2" s="1"/>
  <c r="R11" i="2" a="1"/>
  <c r="R11" i="2" s="1"/>
  <c r="S11" i="2" a="1"/>
  <c r="S11" i="2" s="1"/>
  <c r="T11" i="2" a="1"/>
  <c r="T11" i="2" s="1"/>
  <c r="U11" i="2" a="1"/>
  <c r="U11" i="2" s="1"/>
  <c r="V11" i="2" a="1"/>
  <c r="V11" i="2" s="1"/>
  <c r="W11" i="2" a="1"/>
  <c r="W11" i="2" s="1"/>
  <c r="X11" i="2" a="1"/>
  <c r="X11" i="2" s="1"/>
  <c r="Y11" i="2" a="1"/>
  <c r="Y11" i="2" s="1"/>
  <c r="Z11" i="2" a="1"/>
  <c r="Z11" i="2" s="1"/>
  <c r="AA11" i="2" a="1"/>
  <c r="AA11" i="2" s="1"/>
  <c r="AB11" i="2" a="1"/>
  <c r="AB11" i="2" s="1"/>
  <c r="AC11" i="2" a="1"/>
  <c r="AC11" i="2" s="1"/>
  <c r="AD11" i="2" a="1"/>
  <c r="AD11" i="2" s="1"/>
  <c r="AE11" i="2" a="1"/>
  <c r="AE11" i="2" s="1"/>
  <c r="M12" i="2" a="1"/>
  <c r="M12" i="2" s="1"/>
  <c r="N12" i="2" a="1"/>
  <c r="N12" i="2" s="1"/>
  <c r="O12" i="2" a="1"/>
  <c r="O12" i="2" s="1"/>
  <c r="P12" i="2" a="1"/>
  <c r="P12" i="2" s="1"/>
  <c r="Q12" i="2" a="1"/>
  <c r="Q12" i="2" s="1"/>
  <c r="R12" i="2" a="1"/>
  <c r="R12" i="2" s="1"/>
  <c r="S12" i="2" a="1"/>
  <c r="S12" i="2" s="1"/>
  <c r="T12" i="2" a="1"/>
  <c r="T12" i="2" s="1"/>
  <c r="U12" i="2" a="1"/>
  <c r="U12" i="2" s="1"/>
  <c r="V12" i="2" a="1"/>
  <c r="V12" i="2" s="1"/>
  <c r="W12" i="2" a="1"/>
  <c r="W12" i="2" s="1"/>
  <c r="X12" i="2" a="1"/>
  <c r="X12" i="2" s="1"/>
  <c r="Y12" i="2" a="1"/>
  <c r="Y12" i="2" s="1"/>
  <c r="Z12" i="2" a="1"/>
  <c r="Z12" i="2" s="1"/>
  <c r="AA12" i="2" a="1"/>
  <c r="AA12" i="2" s="1"/>
  <c r="AB12" i="2" a="1"/>
  <c r="AB12" i="2" s="1"/>
  <c r="AC12" i="2" a="1"/>
  <c r="AC12" i="2" s="1"/>
  <c r="AD12" i="2" a="1"/>
  <c r="AD12" i="2" s="1"/>
  <c r="AE12" i="2" a="1"/>
  <c r="AE12" i="2" s="1"/>
  <c r="M13" i="2" a="1"/>
  <c r="M13" i="2" s="1"/>
  <c r="N13" i="2" a="1"/>
  <c r="N13" i="2" s="1"/>
  <c r="O13" i="2" a="1"/>
  <c r="O13" i="2" s="1"/>
  <c r="P13" i="2" a="1"/>
  <c r="P13" i="2" s="1"/>
  <c r="Q13" i="2" a="1"/>
  <c r="Q13" i="2" s="1"/>
  <c r="R13" i="2" a="1"/>
  <c r="R13" i="2" s="1"/>
  <c r="S13" i="2" a="1"/>
  <c r="S13" i="2" s="1"/>
  <c r="T13" i="2" a="1"/>
  <c r="T13" i="2" s="1"/>
  <c r="U13" i="2" a="1"/>
  <c r="U13" i="2" s="1"/>
  <c r="V13" i="2" a="1"/>
  <c r="V13" i="2" s="1"/>
  <c r="W13" i="2" a="1"/>
  <c r="W13" i="2" s="1"/>
  <c r="X13" i="2" a="1"/>
  <c r="X13" i="2" s="1"/>
  <c r="Y13" i="2" a="1"/>
  <c r="Y13" i="2" s="1"/>
  <c r="Z13" i="2" a="1"/>
  <c r="Z13" i="2" s="1"/>
  <c r="AA13" i="2" a="1"/>
  <c r="AA13" i="2" s="1"/>
  <c r="AB13" i="2" a="1"/>
  <c r="AB13" i="2" s="1"/>
  <c r="AC13" i="2" a="1"/>
  <c r="AC13" i="2" s="1"/>
  <c r="AD13" i="2" a="1"/>
  <c r="AD13" i="2" s="1"/>
  <c r="AE13" i="2" a="1"/>
  <c r="AE13" i="2" s="1"/>
  <c r="M14" i="2" a="1"/>
  <c r="M14" i="2" s="1"/>
  <c r="N14" i="2" a="1"/>
  <c r="N14" i="2" s="1"/>
  <c r="O14" i="2" a="1"/>
  <c r="O14" i="2" s="1"/>
  <c r="P14" i="2" a="1"/>
  <c r="P14" i="2" s="1"/>
  <c r="Q14" i="2" a="1"/>
  <c r="Q14" i="2" s="1"/>
  <c r="R14" i="2" a="1"/>
  <c r="R14" i="2" s="1"/>
  <c r="S14" i="2" a="1"/>
  <c r="S14" i="2" s="1"/>
  <c r="T14" i="2" a="1"/>
  <c r="T14" i="2" s="1"/>
  <c r="U14" i="2" a="1"/>
  <c r="U14" i="2" s="1"/>
  <c r="V14" i="2" a="1"/>
  <c r="V14" i="2" s="1"/>
  <c r="W14" i="2" a="1"/>
  <c r="W14" i="2" s="1"/>
  <c r="X14" i="2" a="1"/>
  <c r="X14" i="2" s="1"/>
  <c r="Y14" i="2" a="1"/>
  <c r="Y14" i="2" s="1"/>
  <c r="Z14" i="2" a="1"/>
  <c r="Z14" i="2" s="1"/>
  <c r="AA14" i="2" a="1"/>
  <c r="AA14" i="2" s="1"/>
  <c r="AB14" i="2" a="1"/>
  <c r="AB14" i="2" s="1"/>
  <c r="AC14" i="2" a="1"/>
  <c r="AC14" i="2" s="1"/>
  <c r="AD14" i="2" a="1"/>
  <c r="AD14" i="2" s="1"/>
  <c r="AE14" i="2" a="1"/>
  <c r="AE14" i="2" s="1"/>
  <c r="M15" i="2" a="1"/>
  <c r="M15" i="2" s="1"/>
  <c r="N15" i="2" a="1"/>
  <c r="N15" i="2" s="1"/>
  <c r="O15" i="2" a="1"/>
  <c r="O15" i="2" s="1"/>
  <c r="P15" i="2" a="1"/>
  <c r="P15" i="2" s="1"/>
  <c r="Q15" i="2" a="1"/>
  <c r="Q15" i="2" s="1"/>
  <c r="R15" i="2" a="1"/>
  <c r="R15" i="2" s="1"/>
  <c r="S15" i="2" a="1"/>
  <c r="S15" i="2" s="1"/>
  <c r="T15" i="2" a="1"/>
  <c r="T15" i="2" s="1"/>
  <c r="U15" i="2" a="1"/>
  <c r="U15" i="2" s="1"/>
  <c r="V15" i="2" a="1"/>
  <c r="V15" i="2" s="1"/>
  <c r="W15" i="2" a="1"/>
  <c r="W15" i="2" s="1"/>
  <c r="X15" i="2" a="1"/>
  <c r="X15" i="2" s="1"/>
  <c r="Y15" i="2" a="1"/>
  <c r="Y15" i="2" s="1"/>
  <c r="Z15" i="2" a="1"/>
  <c r="Z15" i="2" s="1"/>
  <c r="AA15" i="2" a="1"/>
  <c r="AA15" i="2" s="1"/>
  <c r="AB15" i="2" a="1"/>
  <c r="AB15" i="2" s="1"/>
  <c r="AC15" i="2" a="1"/>
  <c r="AC15" i="2" s="1"/>
  <c r="AD15" i="2" a="1"/>
  <c r="AD15" i="2" s="1"/>
  <c r="AE15" i="2" a="1"/>
  <c r="AE15" i="2" s="1"/>
  <c r="M16" i="2" a="1"/>
  <c r="M16" i="2" s="1"/>
  <c r="N16" i="2" a="1"/>
  <c r="N16" i="2" s="1"/>
  <c r="O16" i="2" a="1"/>
  <c r="O16" i="2" s="1"/>
  <c r="P16" i="2" a="1"/>
  <c r="P16" i="2" s="1"/>
  <c r="Q16" i="2" a="1"/>
  <c r="Q16" i="2" s="1"/>
  <c r="R16" i="2" a="1"/>
  <c r="R16" i="2" s="1"/>
  <c r="S16" i="2" a="1"/>
  <c r="S16" i="2" s="1"/>
  <c r="T16" i="2" a="1"/>
  <c r="T16" i="2" s="1"/>
  <c r="U16" i="2" a="1"/>
  <c r="U16" i="2" s="1"/>
  <c r="V16" i="2" a="1"/>
  <c r="V16" i="2" s="1"/>
  <c r="W16" i="2" a="1"/>
  <c r="W16" i="2" s="1"/>
  <c r="X16" i="2" a="1"/>
  <c r="X16" i="2" s="1"/>
  <c r="Y16" i="2" a="1"/>
  <c r="Y16" i="2" s="1"/>
  <c r="Z16" i="2" a="1"/>
  <c r="Z16" i="2" s="1"/>
  <c r="AA16" i="2" a="1"/>
  <c r="AA16" i="2" s="1"/>
  <c r="AB16" i="2" a="1"/>
  <c r="AB16" i="2" s="1"/>
  <c r="AC16" i="2" a="1"/>
  <c r="AC16" i="2" s="1"/>
  <c r="AD16" i="2" a="1"/>
  <c r="AD16" i="2" s="1"/>
  <c r="AE16" i="2" a="1"/>
  <c r="AE16" i="2" s="1"/>
  <c r="M17" i="2" a="1"/>
  <c r="M17" i="2" s="1"/>
  <c r="N17" i="2" a="1"/>
  <c r="N17" i="2" s="1"/>
  <c r="O17" i="2" a="1"/>
  <c r="O17" i="2" s="1"/>
  <c r="P17" i="2" a="1"/>
  <c r="P17" i="2" s="1"/>
  <c r="Q17" i="2" a="1"/>
  <c r="Q17" i="2" s="1"/>
  <c r="R17" i="2" a="1"/>
  <c r="R17" i="2" s="1"/>
  <c r="S17" i="2" a="1"/>
  <c r="S17" i="2" s="1"/>
  <c r="T17" i="2" a="1"/>
  <c r="T17" i="2" s="1"/>
  <c r="U17" i="2" a="1"/>
  <c r="U17" i="2" s="1"/>
  <c r="V17" i="2" a="1"/>
  <c r="V17" i="2" s="1"/>
  <c r="W17" i="2" a="1"/>
  <c r="W17" i="2" s="1"/>
  <c r="X17" i="2" a="1"/>
  <c r="X17" i="2" s="1"/>
  <c r="Y17" i="2" a="1"/>
  <c r="Y17" i="2" s="1"/>
  <c r="Z17" i="2" a="1"/>
  <c r="Z17" i="2" s="1"/>
  <c r="AA17" i="2" a="1"/>
  <c r="AA17" i="2" s="1"/>
  <c r="AB17" i="2" a="1"/>
  <c r="AB17" i="2" s="1"/>
  <c r="AC17" i="2" a="1"/>
  <c r="AC17" i="2" s="1"/>
  <c r="AD17" i="2" a="1"/>
  <c r="AD17" i="2" s="1"/>
  <c r="AE17" i="2" a="1"/>
  <c r="AE17" i="2" s="1"/>
  <c r="M18" i="2" a="1"/>
  <c r="M18" i="2" s="1"/>
  <c r="N18" i="2" a="1"/>
  <c r="N18" i="2" s="1"/>
  <c r="O18" i="2" a="1"/>
  <c r="O18" i="2" s="1"/>
  <c r="P18" i="2" a="1"/>
  <c r="P18" i="2" s="1"/>
  <c r="Q18" i="2" a="1"/>
  <c r="Q18" i="2" s="1"/>
  <c r="R18" i="2" a="1"/>
  <c r="R18" i="2" s="1"/>
  <c r="S18" i="2" a="1"/>
  <c r="S18" i="2" s="1"/>
  <c r="T18" i="2" a="1"/>
  <c r="T18" i="2" s="1"/>
  <c r="U18" i="2" a="1"/>
  <c r="U18" i="2" s="1"/>
  <c r="V18" i="2" a="1"/>
  <c r="V18" i="2" s="1"/>
  <c r="W18" i="2" a="1"/>
  <c r="W18" i="2" s="1"/>
  <c r="X18" i="2" a="1"/>
  <c r="X18" i="2" s="1"/>
  <c r="Y18" i="2" a="1"/>
  <c r="Y18" i="2" s="1"/>
  <c r="Z18" i="2" a="1"/>
  <c r="Z18" i="2" s="1"/>
  <c r="AA18" i="2" a="1"/>
  <c r="AA18" i="2" s="1"/>
  <c r="AB18" i="2" a="1"/>
  <c r="AB18" i="2" s="1"/>
  <c r="AC18" i="2" a="1"/>
  <c r="AC18" i="2" s="1"/>
  <c r="AD18" i="2" a="1"/>
  <c r="AD18" i="2" s="1"/>
  <c r="AE18" i="2" a="1"/>
  <c r="AE18" i="2" s="1"/>
  <c r="M19" i="2" a="1"/>
  <c r="M19" i="2" s="1"/>
  <c r="N19" i="2" a="1"/>
  <c r="N19" i="2" s="1"/>
  <c r="O19" i="2" a="1"/>
  <c r="O19" i="2" s="1"/>
  <c r="P19" i="2" a="1"/>
  <c r="P19" i="2" s="1"/>
  <c r="Q19" i="2" a="1"/>
  <c r="Q19" i="2" s="1"/>
  <c r="R19" i="2" a="1"/>
  <c r="R19" i="2" s="1"/>
  <c r="S19" i="2" a="1"/>
  <c r="S19" i="2" s="1"/>
  <c r="T19" i="2" a="1"/>
  <c r="T19" i="2" s="1"/>
  <c r="U19" i="2" a="1"/>
  <c r="U19" i="2" s="1"/>
  <c r="V19" i="2" a="1"/>
  <c r="V19" i="2" s="1"/>
  <c r="W19" i="2" a="1"/>
  <c r="W19" i="2" s="1"/>
  <c r="X19" i="2" a="1"/>
  <c r="X19" i="2" s="1"/>
  <c r="Y19" i="2" a="1"/>
  <c r="Y19" i="2" s="1"/>
  <c r="Z19" i="2" a="1"/>
  <c r="Z19" i="2" s="1"/>
  <c r="AA19" i="2" a="1"/>
  <c r="AA19" i="2" s="1"/>
  <c r="AB19" i="2" a="1"/>
  <c r="AB19" i="2" s="1"/>
  <c r="AC19" i="2" a="1"/>
  <c r="AC19" i="2" s="1"/>
  <c r="AD19" i="2" a="1"/>
  <c r="AD19" i="2" s="1"/>
  <c r="AE19" i="2" a="1"/>
  <c r="AE19" i="2" s="1"/>
  <c r="M20" i="2" a="1"/>
  <c r="M20" i="2" s="1"/>
  <c r="N20" i="2" a="1"/>
  <c r="N20" i="2" s="1"/>
  <c r="O20" i="2" a="1"/>
  <c r="O20" i="2" s="1"/>
  <c r="P20" i="2" a="1"/>
  <c r="P20" i="2" s="1"/>
  <c r="Q20" i="2" a="1"/>
  <c r="Q20" i="2" s="1"/>
  <c r="R20" i="2" a="1"/>
  <c r="R20" i="2" s="1"/>
  <c r="S20" i="2" a="1"/>
  <c r="S20" i="2" s="1"/>
  <c r="T20" i="2" a="1"/>
  <c r="T20" i="2" s="1"/>
  <c r="U20" i="2" a="1"/>
  <c r="U20" i="2" s="1"/>
  <c r="V20" i="2" a="1"/>
  <c r="V20" i="2" s="1"/>
  <c r="W20" i="2" a="1"/>
  <c r="W20" i="2" s="1"/>
  <c r="X20" i="2" a="1"/>
  <c r="X20" i="2" s="1"/>
  <c r="Y20" i="2" a="1"/>
  <c r="Y20" i="2" s="1"/>
  <c r="Z20" i="2" a="1"/>
  <c r="Z20" i="2" s="1"/>
  <c r="AA20" i="2" a="1"/>
  <c r="AA20" i="2" s="1"/>
  <c r="AB20" i="2" a="1"/>
  <c r="AB20" i="2" s="1"/>
  <c r="AC20" i="2" a="1"/>
  <c r="AC20" i="2" s="1"/>
  <c r="AD20" i="2" a="1"/>
  <c r="AD20" i="2" s="1"/>
  <c r="AE20" i="2" a="1"/>
  <c r="AE20" i="2" s="1"/>
  <c r="M21" i="2" a="1"/>
  <c r="M21" i="2" s="1"/>
  <c r="N21" i="2" a="1"/>
  <c r="N21" i="2" s="1"/>
  <c r="O21" i="2" a="1"/>
  <c r="O21" i="2" s="1"/>
  <c r="P21" i="2" a="1"/>
  <c r="P21" i="2" s="1"/>
  <c r="Q21" i="2" a="1"/>
  <c r="Q21" i="2" s="1"/>
  <c r="R21" i="2" a="1"/>
  <c r="R21" i="2" s="1"/>
  <c r="S21" i="2" a="1"/>
  <c r="S21" i="2" s="1"/>
  <c r="T21" i="2" a="1"/>
  <c r="T21" i="2" s="1"/>
  <c r="U21" i="2" a="1"/>
  <c r="U21" i="2" s="1"/>
  <c r="V21" i="2" a="1"/>
  <c r="V21" i="2" s="1"/>
  <c r="W21" i="2" a="1"/>
  <c r="W21" i="2" s="1"/>
  <c r="X21" i="2" a="1"/>
  <c r="X21" i="2" s="1"/>
  <c r="Y21" i="2" a="1"/>
  <c r="Y21" i="2" s="1"/>
  <c r="Z21" i="2" a="1"/>
  <c r="Z21" i="2" s="1"/>
  <c r="AA21" i="2" a="1"/>
  <c r="AA21" i="2" s="1"/>
  <c r="AB21" i="2" a="1"/>
  <c r="AB21" i="2" s="1"/>
  <c r="AC21" i="2" a="1"/>
  <c r="AC21" i="2" s="1"/>
  <c r="AD21" i="2" a="1"/>
  <c r="AD21" i="2" s="1"/>
  <c r="AE21" i="2" a="1"/>
  <c r="AE21" i="2" s="1"/>
  <c r="M3" i="2" a="1"/>
  <c r="M3" i="2" s="1"/>
  <c r="N3" i="2" a="1"/>
  <c r="N3" i="2" s="1"/>
  <c r="O3" i="2" a="1"/>
  <c r="O3" i="2" s="1"/>
  <c r="P3" i="2" a="1"/>
  <c r="P3" i="2" s="1"/>
  <c r="Q3" i="2" a="1"/>
  <c r="Q3" i="2" s="1"/>
  <c r="R3" i="2" a="1"/>
  <c r="R3" i="2" s="1"/>
  <c r="S3" i="2" a="1"/>
  <c r="S3" i="2" s="1"/>
  <c r="T3" i="2" a="1"/>
  <c r="T3" i="2" s="1"/>
  <c r="U3" i="2" a="1"/>
  <c r="U3" i="2" s="1"/>
  <c r="V3" i="2" a="1"/>
  <c r="V3" i="2" s="1"/>
  <c r="W3" i="2" a="1"/>
  <c r="W3" i="2" s="1"/>
  <c r="X3" i="2" a="1"/>
  <c r="X3" i="2" s="1"/>
  <c r="Y3" i="2" a="1"/>
  <c r="Y3" i="2" s="1"/>
  <c r="Z3" i="2" a="1"/>
  <c r="Z3" i="2" s="1"/>
  <c r="AA3" i="2" a="1"/>
  <c r="AA3" i="2" s="1"/>
  <c r="AB3" i="2" a="1"/>
  <c r="AB3" i="2" s="1"/>
  <c r="AC3" i="2" a="1"/>
  <c r="AC3" i="2" s="1"/>
  <c r="AD3" i="2" a="1"/>
  <c r="AD3" i="2" s="1"/>
  <c r="AE3" i="2" a="1"/>
  <c r="AE3" i="2" s="1"/>
  <c r="D5" i="1"/>
  <c r="M4" i="1"/>
  <c r="O4" i="1"/>
  <c r="K4" i="1"/>
  <c r="J4" i="1"/>
  <c r="N4" i="1"/>
  <c r="L4" i="1"/>
  <c r="H4" i="1"/>
  <c r="I4" i="1"/>
  <c r="E4" i="1"/>
  <c r="F4" i="1"/>
  <c r="G4" i="1"/>
  <c r="S4" i="1"/>
  <c r="T4" i="1"/>
  <c r="U4" i="1"/>
  <c r="R4" i="1"/>
  <c r="V4" i="1"/>
  <c r="W4" i="1"/>
  <c r="Q4" i="1"/>
  <c r="P4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M2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<sst xmlns="http://schemas.openxmlformats.org/spreadsheetml/2006/main" count="252" uniqueCount="86">
  <si>
    <t>Race</t>
  </si>
  <si>
    <t>ID</t>
  </si>
  <si>
    <t>Primary Biome</t>
  </si>
  <si>
    <t>Continental</t>
  </si>
  <si>
    <t>Grasslands</t>
  </si>
  <si>
    <t>Carbonaceous</t>
  </si>
  <si>
    <t>Human</t>
  </si>
  <si>
    <t>Ackdarian</t>
  </si>
  <si>
    <t>Teekan</t>
  </si>
  <si>
    <t>Haakonish</t>
  </si>
  <si>
    <t>Mortalen</t>
  </si>
  <si>
    <t>Ikkuro</t>
  </si>
  <si>
    <t>Boskara</t>
  </si>
  <si>
    <t>Wekkarus</t>
  </si>
  <si>
    <t>Atuuk</t>
  </si>
  <si>
    <t>Dhayut</t>
  </si>
  <si>
    <t>Gizurean</t>
  </si>
  <si>
    <t>Ketarov</t>
  </si>
  <si>
    <t>Kiadian</t>
  </si>
  <si>
    <t>Naxxilian</t>
  </si>
  <si>
    <t>Quameno</t>
  </si>
  <si>
    <t>Securan</t>
  </si>
  <si>
    <t>Shandar</t>
  </si>
  <si>
    <t>Sluken</t>
  </si>
  <si>
    <t>Ugnari</t>
  </si>
  <si>
    <t>Ice</t>
  </si>
  <si>
    <t>Rocky Silicon</t>
  </si>
  <si>
    <t>Rocky Metallic</t>
  </si>
  <si>
    <t>Tundra</t>
  </si>
  <si>
    <t>Inferno</t>
  </si>
  <si>
    <t>Arid</t>
  </si>
  <si>
    <t>Humid</t>
  </si>
  <si>
    <t>Zenox</t>
  </si>
  <si>
    <t>Temperature</t>
  </si>
  <si>
    <t>Savanna</t>
  </si>
  <si>
    <t>Hot</t>
  </si>
  <si>
    <t>Warm</t>
  </si>
  <si>
    <t>Cold</t>
  </si>
  <si>
    <t>Arctic</t>
  </si>
  <si>
    <t>Sub Arctic</t>
  </si>
  <si>
    <t>Cool</t>
  </si>
  <si>
    <t>Moist</t>
  </si>
  <si>
    <t>Saturated</t>
  </si>
  <si>
    <t>Dry</t>
  </si>
  <si>
    <t>Dessicated</t>
  </si>
  <si>
    <t>Super Frigid</t>
  </si>
  <si>
    <t>Barren</t>
  </si>
  <si>
    <t>Frozen</t>
  </si>
  <si>
    <t>Name</t>
  </si>
  <si>
    <t>Seas</t>
  </si>
  <si>
    <t>Oceans</t>
  </si>
  <si>
    <t>Large Lakes</t>
  </si>
  <si>
    <t>Humidity</t>
  </si>
  <si>
    <t>Water</t>
  </si>
  <si>
    <t>None</t>
  </si>
  <si>
    <t>Engulfed</t>
  </si>
  <si>
    <t>Oasis</t>
  </si>
  <si>
    <t>Few Lakes</t>
  </si>
  <si>
    <t>Atmosphere</t>
  </si>
  <si>
    <t>CO2</t>
  </si>
  <si>
    <t>N2O2</t>
  </si>
  <si>
    <t>O2NaH2</t>
  </si>
  <si>
    <t>Vacuum</t>
  </si>
  <si>
    <t>H2He</t>
  </si>
  <si>
    <t>H2HeCH₄</t>
  </si>
  <si>
    <t>description</t>
  </si>
  <si>
    <t>no atmosphere</t>
  </si>
  <si>
    <t>mars, venus</t>
  </si>
  <si>
    <t>earth</t>
  </si>
  <si>
    <t>mercury</t>
  </si>
  <si>
    <t>jupiter, saturn</t>
  </si>
  <si>
    <t>uranus, neptune</t>
  </si>
  <si>
    <t>key</t>
  </si>
  <si>
    <t>value</t>
  </si>
  <si>
    <t>the current algo is:
+ temperature delta
+ 1/2 moisture delta
+ 1/2 water delta
+ 10x atmosphere delta</t>
  </si>
  <si>
    <t>Snowball</t>
  </si>
  <si>
    <t>Rocky Ice</t>
  </si>
  <si>
    <t>Rocky Volcanic</t>
  </si>
  <si>
    <t>Sandy Desert</t>
  </si>
  <si>
    <t>Rocky Desert</t>
  </si>
  <si>
    <t>Continental Forests</t>
  </si>
  <si>
    <t>Warm Ocean</t>
  </si>
  <si>
    <t>Cold Ocean</t>
  </si>
  <si>
    <t>Mangrove Swamp</t>
  </si>
  <si>
    <t>Swampy Marsh</t>
  </si>
  <si>
    <t>Sulfuric Volcanic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</si>
</sst>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1" fillId="2" borderId="1" xfId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0" xfId="0" applyNumberFormat="1" applyAlignment="1">
      <alignment horizontal="center"/>
    </xf>
    <xf numFmtId="0" fontId="3" fillId="2" borderId="6" xfId="2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3">
    <cellStyle name="20% - Accent3" xfId="1" builtinId="38"/>
    <cellStyle name="Heading 4" xfId="2" builtinId="19"/>
    <cellStyle name="Normal" xfId="0" builtinId="0"/>
  </cellStyles>
  <dxfs count="3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2032FB-3790-4352-B849-2792C4EEB26F}" name="Temperature" displayName="Temperature" ref="B2:C10" totalsRowShown="0">
  <autoFilter ref="B2:C10" xr:uid="{D72032FB-3790-4352-B849-2792C4EEB26F}"/>
  <sortState xmlns:xlrd2="http://schemas.microsoft.com/office/spreadsheetml/2017/richdata2" ref="B3:C10">
    <sortCondition ref="B2:B10"/>
  </sortState>
  <tableColumns count="2">
    <tableColumn id="2" xr3:uid="{FDC2A31D-21EC-4B31-B7CC-52030DD24201}" name="key"/>
    <tableColumn id="3" xr3:uid="{23A39B1A-8D50-4235-AEC1-C4E0BE481204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06F1BB-7AA2-462C-9CE7-F6A159BCF1A4}" name="Humidity" displayName="Humidity" ref="B14:C20" totalsRowShown="0">
  <autoFilter ref="B14:C20" xr:uid="{3106F1BB-7AA2-462C-9CE7-F6A159BCF1A4}"/>
  <sortState xmlns:xlrd2="http://schemas.microsoft.com/office/spreadsheetml/2017/richdata2" ref="B15:C20">
    <sortCondition ref="B14:B20"/>
  </sortState>
  <tableColumns count="2">
    <tableColumn id="1" xr3:uid="{7E478225-5837-4231-B10F-620C1B36E304}" name="key"/>
    <tableColumn id="2" xr3:uid="{2A8D4289-F2D5-45D0-9091-E33EBC55851D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20D09C-DCFA-40D5-880F-1F49D98C6BD0}" name="Water" displayName="Water" ref="B24:C31" totalsRowShown="0">
  <autoFilter ref="B24:C31" xr:uid="{F320D09C-DCFA-40D5-880F-1F49D98C6BD0}"/>
  <sortState xmlns:xlrd2="http://schemas.microsoft.com/office/spreadsheetml/2017/richdata2" ref="B25:C31">
    <sortCondition ref="B24:B31"/>
  </sortState>
  <tableColumns count="2">
    <tableColumn id="1" xr3:uid="{880C7077-47B7-4F38-BC66-1DD81C153132}" name="key"/>
    <tableColumn id="2" xr3:uid="{E7EB0A79-C53A-477F-9FD9-7D5FD5D113D2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2976B-5A93-4AE3-B65E-FE04AA5E05D0}" name="Biome" displayName="Biome" ref="E2:J21" totalsRowShown="0" headerRowDxfId="30" dataDxfId="29">
  <autoFilter ref="E2:J21" xr:uid="{10A2976B-5A93-4AE3-B65E-FE04AA5E05D0}"/>
  <sortState xmlns:xlrd2="http://schemas.microsoft.com/office/spreadsheetml/2017/richdata2" ref="E3:J21">
    <sortCondition ref="F2:F21"/>
  </sortState>
  <tableColumns count="6">
    <tableColumn id="1" xr3:uid="{297D5B30-94EF-4335-A63C-1704930AC6E3}" name="ID" dataDxfId="28"/>
    <tableColumn id="2" xr3:uid="{C843A75E-5C6E-4B29-8425-C1D54E855227}" name="Name" dataDxfId="27"/>
    <tableColumn id="3" xr3:uid="{BACDD47A-93A8-4D2A-894C-95B593E6CBD7}" name="Temperature" dataDxfId="26"/>
    <tableColumn id="4" xr3:uid="{B3E394FA-6576-49FA-ABFA-CC759543D9C6}" name="Humidity" dataDxfId="25"/>
    <tableColumn id="5" xr3:uid="{ACDD4249-8789-44F0-8782-18775499E651}" name="Water" dataDxfId="24"/>
    <tableColumn id="6" xr3:uid="{C18A9238-05E4-4DC3-9072-A33B95544D33}" name="Atmosphere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166E19-1E80-4FC9-A0A5-06E5E00A9311}" name="BiomeCompat" displayName="BiomeCompat" ref="M2:AE21" totalsRowShown="0" headerRowDxfId="22" dataDxfId="20" headerRowBorderDxfId="21" tableBorderDxfId="19" headerRowCellStyle="Heading 4">
  <autoFilter ref="M2:AE21" xr:uid="{9D166E19-1E80-4FC9-A0A5-06E5E00A9311}"/>
  <tableColumns count="19">
    <tableColumn id="1" xr3:uid="{4535192B-AF60-4903-8807-980A8D30B540}" name="Rocky Volcanic" dataDxfId="18">
      <calculatedColumnFormula array="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calculatedColumnFormula>
    </tableColumn>
    <tableColumn id="2" xr3:uid="{6D5DB517-03C1-4780-B32D-B81BA509A2FE}" name="Sulfuric Volcanic" dataDxfId="17">
      <calculatedColumnFormula array="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calculatedColumnFormula>
    </tableColumn>
    <tableColumn id="3" xr3:uid="{B86AE3F5-007A-4039-9F24-B067D7E62D62}" name="Sandy Desert" dataDxfId="16">
      <calculatedColumnFormula array="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calculatedColumnFormula>
    </tableColumn>
    <tableColumn id="4" xr3:uid="{97F43F38-523E-43B9-950A-8F00ACF5077F}" name="Rocky Desert" dataDxfId="15">
      <calculatedColumnFormula array="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calculatedColumnFormula>
    </tableColumn>
    <tableColumn id="5" xr3:uid="{4F5D1610-8DB3-426A-A41D-114618BDAB41}" name="Swampy Marsh" dataDxfId="14">
      <calculatedColumnFormula array="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calculatedColumnFormula>
    </tableColumn>
    <tableColumn id="6" xr3:uid="{315EF3A0-B30E-4468-ADBC-E7D0DDCB1337}" name="Mangrove Swamp" dataDxfId="13">
      <calculatedColumnFormula array="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calculatedColumnFormula>
    </tableColumn>
    <tableColumn id="7" xr3:uid="{72F07F9B-3F7E-4FEE-81E2-055E96F173B4}" name="Savanna" dataDxfId="12">
      <calculatedColumnFormula array="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calculatedColumnFormula>
    </tableColumn>
    <tableColumn id="8" xr3:uid="{8CB34D0F-EBC4-4E7B-AC1F-3BFF22369346}" name="Grasslands" dataDxfId="11">
      <calculatedColumnFormula array="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calculatedColumnFormula>
    </tableColumn>
    <tableColumn id="9" xr3:uid="{2FB77CC5-0DE3-4759-835B-2955A5B8B39C}" name="Continental Forests" dataDxfId="10">
      <calculatedColumnFormula array="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calculatedColumnFormula>
    </tableColumn>
    <tableColumn id="10" xr3:uid="{E915CE22-7160-420F-8097-E678E0DFCB4A}" name="Continental" dataDxfId="9">
      <calculatedColumnFormula array="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calculatedColumnFormula>
    </tableColumn>
    <tableColumn id="11" xr3:uid="{E535716E-DC79-43B3-B9DE-5F981015C2C5}" name="Warm Ocean" dataDxfId="8">
      <calculatedColumnFormula array="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calculatedColumnFormula>
    </tableColumn>
    <tableColumn id="12" xr3:uid="{D5FB1F2C-5D5E-43B6-842E-215F654FABA1}" name="Cold Ocean" dataDxfId="7">
      <calculatedColumnFormula array="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calculatedColumnFormula>
    </tableColumn>
    <tableColumn id="13" xr3:uid="{7EE19C91-8F39-44BB-9D58-771E56551E1E}" name="Tundra" dataDxfId="6">
      <calculatedColumnFormula array="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calculatedColumnFormula>
    </tableColumn>
    <tableColumn id="14" xr3:uid="{745666E4-2CED-49F4-9657-0EF97B11A70C}" name="Snowball" dataDxfId="5">
      <calculatedColumnFormula array="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calculatedColumnFormula>
    </tableColumn>
    <tableColumn id="15" xr3:uid="{69B83D04-36C7-4D73-A812-CBE641A11C66}" name="Ice" dataDxfId="4">
      <calculatedColumnFormula array="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calculatedColumnFormula>
    </tableColumn>
    <tableColumn id="16" xr3:uid="{6C12F39A-0A20-49CE-82A6-88B31EC64F0D}" name="Rocky Ice" dataDxfId="3">
      <calculatedColumnFormula array="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calculatedColumnFormula>
    </tableColumn>
    <tableColumn id="17" xr3:uid="{FE5416F1-C6B7-4B71-AC9A-48B2308042FA}" name="Carbonaceous" dataDxfId="2">
      <calculatedColumnFormula array="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calculatedColumnFormula>
    </tableColumn>
    <tableColumn id="18" xr3:uid="{905A4757-B98B-4221-8FB3-4DB25000D302}" name="Rocky Metallic" dataDxfId="1">
      <calculatedColumnFormula array="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calculatedColumnFormula>
    </tableColumn>
    <tableColumn id="19" xr3:uid="{76F81338-F223-457D-85E6-DB7B5873DB8C}" name="Rocky Silicon" dataDxfId="0">
      <calculatedColumnFormula array="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CDE663-9B23-4A31-94DA-FC74AD1FDE7E}" name="Atmosphere" displayName="Atmosphere" ref="B33:D39" totalsRowShown="0">
  <autoFilter ref="B33:D39" xr:uid="{25CDE663-9B23-4A31-94DA-FC74AD1FDE7E}"/>
  <sortState xmlns:xlrd2="http://schemas.microsoft.com/office/spreadsheetml/2017/richdata2" ref="B34:D39">
    <sortCondition ref="B33:B39"/>
  </sortState>
  <tableColumns count="3">
    <tableColumn id="1" xr3:uid="{ACC34342-A3B3-4B55-BFE2-DBD164A89EEB}" name="key"/>
    <tableColumn id="2" xr3:uid="{E2BB0DA6-B2BC-413F-ADA7-1E3B49DA2DDA}" name="value"/>
    <tableColumn id="3" xr3:uid="{D13DAF32-88B2-426A-A63E-CD83D7FCBE23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19082-BC0F-45FE-97DB-6096CDFAA450}">
  <sheetPr codeName="Sheet1"/>
  <dimension ref="A2:W43"/>
  <sheetViews>
    <sheetView tabSelected="1" zoomScaleNormal="100" workbookViewId="0">
      <selection activeCell="C22" sqref="C22"/>
    </sheetView>
  </sheetViews>
  <sheetFormatPr defaultRowHeight="14.4" x14ac:dyDescent="0.3"/>
  <cols>
    <col min="1" max="1" width="3" style="1" bestFit="1" customWidth="1"/>
    <col min="2" max="2" width="9.5546875" style="1" customWidth="1"/>
    <col min="3" max="3" width="16.44140625" style="1" bestFit="1" customWidth="1"/>
    <col min="4" max="4" width="5.21875" style="1" bestFit="1" customWidth="1"/>
    <col min="5" max="5" width="13.77734375" style="1" bestFit="1" customWidth="1"/>
    <col min="6" max="6" width="14.88671875" style="1" bestFit="1" customWidth="1"/>
    <col min="7" max="7" width="12.6640625" style="1" bestFit="1" customWidth="1"/>
    <col min="8" max="8" width="12" style="1" bestFit="1" customWidth="1"/>
    <col min="9" max="9" width="11.88671875" style="1" bestFit="1" customWidth="1"/>
    <col min="10" max="10" width="13.44140625" style="1" bestFit="1" customWidth="1"/>
    <col min="11" max="11" width="14.88671875" style="1" bestFit="1" customWidth="1"/>
    <col min="12" max="12" width="13.6640625" style="1" bestFit="1" customWidth="1"/>
    <col min="13" max="13" width="17.21875" style="1" bestFit="1" customWidth="1"/>
    <col min="14" max="14" width="11.33203125" style="1" bestFit="1" customWidth="1"/>
    <col min="15" max="15" width="9.88671875" style="1" bestFit="1" customWidth="1"/>
    <col min="16" max="16" width="17" style="1" bestFit="1" customWidth="1"/>
    <col min="17" max="17" width="15.6640625" style="1" bestFit="1" customWidth="1"/>
    <col min="18" max="21" width="10.44140625" style="1" bestFit="1" customWidth="1"/>
    <col min="22" max="22" width="12.88671875" style="1" bestFit="1" customWidth="1"/>
    <col min="23" max="23" width="11.5546875" style="1" bestFit="1" customWidth="1"/>
    <col min="24" max="25" width="10.44140625" style="1" bestFit="1" customWidth="1"/>
    <col min="26" max="16384" width="8.88671875" style="1"/>
  </cols>
  <sheetData>
    <row r="2" spans="1:23" x14ac:dyDescent="0.3">
      <c r="E2" s="11" t="s">
        <v>29</v>
      </c>
      <c r="F2" s="12"/>
      <c r="G2" s="13"/>
      <c r="H2" s="11" t="s">
        <v>35</v>
      </c>
      <c r="I2" s="12"/>
      <c r="J2" s="13"/>
      <c r="K2" s="11" t="s">
        <v>36</v>
      </c>
      <c r="L2" s="12"/>
      <c r="M2" s="13"/>
      <c r="N2" s="11" t="s">
        <v>40</v>
      </c>
      <c r="O2" s="12"/>
      <c r="P2" s="12"/>
      <c r="Q2" s="13"/>
      <c r="R2" s="4" t="s">
        <v>37</v>
      </c>
      <c r="S2" s="11" t="s">
        <v>47</v>
      </c>
      <c r="T2" s="12"/>
      <c r="U2" s="12" t="s">
        <v>46</v>
      </c>
      <c r="V2" s="12"/>
      <c r="W2" s="13"/>
    </row>
    <row r="3" spans="1:23" x14ac:dyDescent="0.3">
      <c r="E3" s="2" t="s">
        <v>77</v>
      </c>
      <c r="F3" s="2" t="s">
        <v>85</v>
      </c>
      <c r="G3" s="2" t="s">
        <v>5</v>
      </c>
      <c r="H3" s="2" t="s">
        <v>78</v>
      </c>
      <c r="I3" s="2" t="s">
        <v>79</v>
      </c>
      <c r="J3" s="2" t="s">
        <v>84</v>
      </c>
      <c r="K3" s="2" t="s">
        <v>83</v>
      </c>
      <c r="L3" s="2" t="s">
        <v>34</v>
      </c>
      <c r="M3" s="2" t="s">
        <v>81</v>
      </c>
      <c r="N3" s="2" t="s">
        <v>82</v>
      </c>
      <c r="O3" s="2" t="s">
        <v>4</v>
      </c>
      <c r="P3" s="2" t="s">
        <v>3</v>
      </c>
      <c r="Q3" s="2" t="s">
        <v>80</v>
      </c>
      <c r="R3" s="2" t="s">
        <v>28</v>
      </c>
      <c r="S3" s="2" t="s">
        <v>75</v>
      </c>
      <c r="T3" s="2" t="s">
        <v>25</v>
      </c>
      <c r="U3" s="2" t="s">
        <v>76</v>
      </c>
      <c r="V3" s="2" t="s">
        <v>27</v>
      </c>
      <c r="W3" s="2" t="s">
        <v>26</v>
      </c>
    </row>
    <row r="4" spans="1:23" x14ac:dyDescent="0.3">
      <c r="A4" s="3" t="s">
        <v>1</v>
      </c>
      <c r="B4" s="3" t="s">
        <v>0</v>
      </c>
      <c r="C4" s="3" t="s">
        <v>2</v>
      </c>
      <c r="D4" s="3" t="s">
        <v>1</v>
      </c>
      <c r="E4" s="2">
        <f>LOOKUP(E3, Sheet2!$F$3:$F$21, Sheet2!$E$3:$E$21)</f>
        <v>12</v>
      </c>
      <c r="F4" s="2">
        <f>LOOKUP(F3, Sheet2!$F$3:$F$21, Sheet2!$E$3:$E$21)</f>
        <v>30</v>
      </c>
      <c r="G4" s="2">
        <f>LOOKUP(G3, Sheet2!$F$3:$F$21, Sheet2!$E$3:$E$21)</f>
        <v>29</v>
      </c>
      <c r="H4" s="2">
        <f>LOOKUP(H3, Sheet2!$F$3:$F$21, Sheet2!$E$3:$E$21)</f>
        <v>10</v>
      </c>
      <c r="I4" s="2">
        <f>LOOKUP(I3, Sheet2!$F$3:$F$21, Sheet2!$E$3:$E$21)</f>
        <v>19</v>
      </c>
      <c r="J4" s="2">
        <f>LOOKUP(J3, Sheet2!$F$3:$F$21, Sheet2!$E$3:$E$21)</f>
        <v>8</v>
      </c>
      <c r="K4" s="2">
        <f>LOOKUP(K3, Sheet2!$F$3:$F$21, Sheet2!$E$3:$E$21)</f>
        <v>27</v>
      </c>
      <c r="L4" s="2">
        <f>LOOKUP(L3, Sheet2!$F$3:$F$21, Sheet2!$E$3:$E$21)</f>
        <v>20</v>
      </c>
      <c r="M4" s="2">
        <f>LOOKUP(M3, Sheet2!$F$3:$F$21, Sheet2!$E$3:$E$21)</f>
        <v>9</v>
      </c>
      <c r="N4" s="2">
        <f>LOOKUP(N3, Sheet2!$F$3:$F$21, Sheet2!$E$3:$E$21)</f>
        <v>23</v>
      </c>
      <c r="O4" s="2">
        <f>LOOKUP(O3, Sheet2!$F$3:$F$21, Sheet2!$E$3:$E$21)</f>
        <v>18</v>
      </c>
      <c r="P4" s="2">
        <f>LOOKUP(P3, Sheet2!$F$3:$F$21, Sheet2!$E$3:$E$21)</f>
        <v>7</v>
      </c>
      <c r="Q4" s="2">
        <f>LOOKUP(Q3, Sheet2!$F$3:$F$21, Sheet2!$E$3:$E$21)</f>
        <v>17</v>
      </c>
      <c r="R4" s="2">
        <f>LOOKUP(R3, Sheet2!$F$3:$F$21, Sheet2!$E$3:$E$21)</f>
        <v>21</v>
      </c>
      <c r="S4" s="2">
        <f>LOOKUP(S3, Sheet2!$F$3:$F$21, Sheet2!$E$3:$E$21)</f>
        <v>11</v>
      </c>
      <c r="T4" s="2">
        <f>LOOKUP(T3, Sheet2!$F$3:$F$21, Sheet2!$E$3:$E$21)</f>
        <v>22</v>
      </c>
      <c r="U4" s="2">
        <f>LOOKUP(U3, Sheet2!$F$3:$F$21, Sheet2!$E$3:$E$21)</f>
        <v>26</v>
      </c>
      <c r="V4" s="2">
        <f>LOOKUP(V3, Sheet2!$F$3:$F$21, Sheet2!$E$3:$E$21)</f>
        <v>25</v>
      </c>
      <c r="W4" s="2">
        <f>LOOKUP(W3, Sheet2!$F$3:$F$21, Sheet2!$E$3:$E$21)</f>
        <v>13</v>
      </c>
    </row>
    <row r="5" spans="1:23" x14ac:dyDescent="0.3">
      <c r="A5" s="1">
        <v>0</v>
      </c>
      <c r="B5" s="1" t="s">
        <v>6</v>
      </c>
      <c r="C5" s="1" t="s">
        <v>3</v>
      </c>
      <c r="D5" s="1">
        <f>LOOKUP(C5, Sheet2!F$3:F$21, Sheet2!E$3:E$21)</f>
        <v>7</v>
      </c>
      <c r="E5" s="1" cm="1">
        <f t="array" ref="E5">ROUND(-_xlfn.XLOOKUP($C5,Biome[[Name]:[Name]],_xlfn.XLOOKUP(E$3,BiomeCompat[#Headers],BiomeCompat[]))/25, 2)</f>
        <v>-0.72</v>
      </c>
      <c r="F5" s="1" cm="1">
        <f t="array" ref="F5">ROUND(-_xlfn.XLOOKUP($C5,Biome[[Name]:[Name]],_xlfn.XLOOKUP(F$3,BiomeCompat[#Headers],BiomeCompat[]))/25, 2)</f>
        <v>-0.72</v>
      </c>
      <c r="G5" s="1" cm="1">
        <f t="array" ref="G5">ROUND(-_xlfn.XLOOKUP($C5,Biome[[Name]:[Name]],_xlfn.XLOOKUP(G$3,BiomeCompat[#Headers],BiomeCompat[]))/25, 2)</f>
        <v>-0.66</v>
      </c>
      <c r="H5" s="1" cm="1">
        <f t="array" ref="H5">ROUND(-_xlfn.XLOOKUP($C5,Biome[[Name]:[Name]],_xlfn.XLOOKUP(H$3,BiomeCompat[#Headers],BiomeCompat[]))/25, 2)</f>
        <v>-0.2</v>
      </c>
      <c r="I5" s="1" cm="1">
        <f t="array" ref="I5">ROUND(-_xlfn.XLOOKUP($C5,Biome[[Name]:[Name]],_xlfn.XLOOKUP(I$3,BiomeCompat[#Headers],BiomeCompat[]))/25, 2)</f>
        <v>-0.2</v>
      </c>
      <c r="J5" s="1" cm="1">
        <f t="array" ref="J5">ROUND(-_xlfn.XLOOKUP($C5,Biome[[Name]:[Name]],_xlfn.XLOOKUP(J$3,BiomeCompat[#Headers],BiomeCompat[]))/25, 2)</f>
        <v>-0.12</v>
      </c>
      <c r="K5" s="1" cm="1">
        <f t="array" ref="K5">ROUND(-_xlfn.XLOOKUP($C5,Biome[[Name]:[Name]],_xlfn.XLOOKUP(K$3,BiomeCompat[#Headers],BiomeCompat[]))/25, 2)</f>
        <v>-0.1</v>
      </c>
      <c r="L5" s="1" cm="1">
        <f t="array" ref="L5">ROUND(-_xlfn.XLOOKUP($C5,Biome[[Name]:[Name]],_xlfn.XLOOKUP(L$3,BiomeCompat[#Headers],BiomeCompat[]))/25, 2)</f>
        <v>-0.16</v>
      </c>
      <c r="M5" s="1" cm="1">
        <f t="array" ref="M5">ROUND(-_xlfn.XLOOKUP($C5,Biome[[Name]:[Name]],_xlfn.XLOOKUP(M$3,BiomeCompat[#Headers],BiomeCompat[]))/25, 2)</f>
        <v>-0.14000000000000001</v>
      </c>
      <c r="N5" s="1" cm="1">
        <f t="array" ref="N5">ROUND(-_xlfn.XLOOKUP($C5,Biome[[Name]:[Name]],_xlfn.XLOOKUP(N$3,BiomeCompat[#Headers],BiomeCompat[]))/25, 2)</f>
        <v>-0.1</v>
      </c>
      <c r="O5" s="1" cm="1">
        <f t="array" ref="O5">ROUND(-_xlfn.XLOOKUP($C5,Biome[[Name]:[Name]],_xlfn.XLOOKUP(O$3,BiomeCompat[#Headers],BiomeCompat[]))/25, 2)</f>
        <v>-0.06</v>
      </c>
      <c r="P5" s="1" cm="1">
        <f t="array" ref="P5">ROUND(-_xlfn.XLOOKUP($C5,Biome[[Name]:[Name]],_xlfn.XLOOKUP(P$3,BiomeCompat[#Headers],BiomeCompat[]))/25, 2)</f>
        <v>0</v>
      </c>
      <c r="Q5" s="1" cm="1">
        <f t="array" ref="Q5">ROUND(-_xlfn.XLOOKUP($C5,Biome[[Name]:[Name]],_xlfn.XLOOKUP(Q$3,BiomeCompat[#Headers],BiomeCompat[]))/25, 2)</f>
        <v>-0.04</v>
      </c>
      <c r="R5" s="1" cm="1">
        <f t="array" ref="R5">ROUND(-_xlfn.XLOOKUP($C5,Biome[[Name]:[Name]],_xlfn.XLOOKUP(R$3,BiomeCompat[#Headers],BiomeCompat[]))/25, 2)</f>
        <v>-0.16</v>
      </c>
      <c r="S5" s="1" cm="1">
        <f t="array" ref="S5">ROUND(-_xlfn.XLOOKUP($C5,Biome[[Name]:[Name]],_xlfn.XLOOKUP(S$3,BiomeCompat[#Headers],BiomeCompat[]))/25, 2)</f>
        <v>-0.18</v>
      </c>
      <c r="T5" s="1" cm="1">
        <f t="array" ref="T5">ROUND(-_xlfn.XLOOKUP($C5,Biome[[Name]:[Name]],_xlfn.XLOOKUP(T$3,BiomeCompat[#Headers],BiomeCompat[]))/25, 2)</f>
        <v>-0.2</v>
      </c>
      <c r="U5" s="1" cm="1">
        <f t="array" ref="U5">ROUND(-_xlfn.XLOOKUP($C5,Biome[[Name]:[Name]],_xlfn.XLOOKUP(U$3,BiomeCompat[#Headers],BiomeCompat[]))/25, 2)</f>
        <v>-1.54</v>
      </c>
      <c r="V5" s="1" cm="1">
        <f t="array" ref="V5">ROUND(-_xlfn.XLOOKUP($C5,Biome[[Name]:[Name]],_xlfn.XLOOKUP(V$3,BiomeCompat[#Headers],BiomeCompat[]))/25, 2)</f>
        <v>-1.64</v>
      </c>
      <c r="W5" s="1" cm="1">
        <f t="array" ref="W5">ROUND(-_xlfn.XLOOKUP($C5,Biome[[Name]:[Name]],_xlfn.XLOOKUP(W$3,BiomeCompat[#Headers],BiomeCompat[]))/25, 2)</f>
        <v>-1.64</v>
      </c>
    </row>
    <row r="6" spans="1:23" x14ac:dyDescent="0.3">
      <c r="A6" s="1">
        <v>1</v>
      </c>
      <c r="B6" s="1" t="s">
        <v>7</v>
      </c>
      <c r="C6" s="1" t="s">
        <v>82</v>
      </c>
      <c r="D6" s="1">
        <f>LOOKUP(C6, Sheet2!F$3:F$21, Sheet2!E$3:E$21)</f>
        <v>23</v>
      </c>
      <c r="E6" s="1" cm="1">
        <f t="array" ref="E6">ROUND(-_xlfn.XLOOKUP($C6,Biome[[Name]:[Name]],_xlfn.XLOOKUP(E$3,BiomeCompat[#Headers],BiomeCompat[]))/25, 2)</f>
        <v>-0.82</v>
      </c>
      <c r="F6" s="1" cm="1">
        <f t="array" ref="F6">ROUND(-_xlfn.XLOOKUP($C6,Biome[[Name]:[Name]],_xlfn.XLOOKUP(F$3,BiomeCompat[#Headers],BiomeCompat[]))/25, 2)</f>
        <v>-0.82</v>
      </c>
      <c r="G6" s="1" cm="1">
        <f t="array" ref="G6">ROUND(-_xlfn.XLOOKUP($C6,Biome[[Name]:[Name]],_xlfn.XLOOKUP(G$3,BiomeCompat[#Headers],BiomeCompat[]))/25, 2)</f>
        <v>-0.76</v>
      </c>
      <c r="H6" s="1" cm="1">
        <f t="array" ref="H6">ROUND(-_xlfn.XLOOKUP($C6,Biome[[Name]:[Name]],_xlfn.XLOOKUP(H$3,BiomeCompat[#Headers],BiomeCompat[]))/25, 2)</f>
        <v>-0.3</v>
      </c>
      <c r="I6" s="1" cm="1">
        <f t="array" ref="I6">ROUND(-_xlfn.XLOOKUP($C6,Biome[[Name]:[Name]],_xlfn.XLOOKUP(I$3,BiomeCompat[#Headers],BiomeCompat[]))/25, 2)</f>
        <v>-0.3</v>
      </c>
      <c r="J6" s="1" cm="1">
        <f t="array" ref="J6">ROUND(-_xlfn.XLOOKUP($C6,Biome[[Name]:[Name]],_xlfn.XLOOKUP(J$3,BiomeCompat[#Headers],BiomeCompat[]))/25, 2)</f>
        <v>-0.18</v>
      </c>
      <c r="K6" s="1" cm="1">
        <f t="array" ref="K6">ROUND(-_xlfn.XLOOKUP($C6,Biome[[Name]:[Name]],_xlfn.XLOOKUP(K$3,BiomeCompat[#Headers],BiomeCompat[]))/25, 2)</f>
        <v>-0.16</v>
      </c>
      <c r="L6" s="1" cm="1">
        <f t="array" ref="L6">ROUND(-_xlfn.XLOOKUP($C6,Biome[[Name]:[Name]],_xlfn.XLOOKUP(L$3,BiomeCompat[#Headers],BiomeCompat[]))/25, 2)</f>
        <v>-0.26</v>
      </c>
      <c r="M6" s="1" cm="1">
        <f t="array" ref="M6">ROUND(-_xlfn.XLOOKUP($C6,Biome[[Name]:[Name]],_xlfn.XLOOKUP(M$3,BiomeCompat[#Headers],BiomeCompat[]))/25, 2)</f>
        <v>-0.04</v>
      </c>
      <c r="N6" s="1" cm="1">
        <f t="array" ref="N6">ROUND(-_xlfn.XLOOKUP($C6,Biome[[Name]:[Name]],_xlfn.XLOOKUP(N$3,BiomeCompat[#Headers],BiomeCompat[]))/25, 2)</f>
        <v>0</v>
      </c>
      <c r="O6" s="1" cm="1">
        <f t="array" ref="O6">ROUND(-_xlfn.XLOOKUP($C6,Biome[[Name]:[Name]],_xlfn.XLOOKUP(O$3,BiomeCompat[#Headers],BiomeCompat[]))/25, 2)</f>
        <v>-0.16</v>
      </c>
      <c r="P6" s="1" cm="1">
        <f t="array" ref="P6">ROUND(-_xlfn.XLOOKUP($C6,Biome[[Name]:[Name]],_xlfn.XLOOKUP(P$3,BiomeCompat[#Headers],BiomeCompat[]))/25, 2)</f>
        <v>-0.1</v>
      </c>
      <c r="Q6" s="1" cm="1">
        <f t="array" ref="Q6">ROUND(-_xlfn.XLOOKUP($C6,Biome[[Name]:[Name]],_xlfn.XLOOKUP(Q$3,BiomeCompat[#Headers],BiomeCompat[]))/25, 2)</f>
        <v>-0.14000000000000001</v>
      </c>
      <c r="R6" s="1" cm="1">
        <f t="array" ref="R6">ROUND(-_xlfn.XLOOKUP($C6,Biome[[Name]:[Name]],_xlfn.XLOOKUP(R$3,BiomeCompat[#Headers],BiomeCompat[]))/25, 2)</f>
        <v>-0.26</v>
      </c>
      <c r="S6" s="1" cm="1">
        <f t="array" ref="S6">ROUND(-_xlfn.XLOOKUP($C6,Biome[[Name]:[Name]],_xlfn.XLOOKUP(S$3,BiomeCompat[#Headers],BiomeCompat[]))/25, 2)</f>
        <v>-0.24</v>
      </c>
      <c r="T6" s="1" cm="1">
        <f t="array" ref="T6">ROUND(-_xlfn.XLOOKUP($C6,Biome[[Name]:[Name]],_xlfn.XLOOKUP(T$3,BiomeCompat[#Headers],BiomeCompat[]))/25, 2)</f>
        <v>-0.3</v>
      </c>
      <c r="U6" s="1" cm="1">
        <f t="array" ref="U6">ROUND(-_xlfn.XLOOKUP($C6,Biome[[Name]:[Name]],_xlfn.XLOOKUP(U$3,BiomeCompat[#Headers],BiomeCompat[]))/25, 2)</f>
        <v>-1.64</v>
      </c>
      <c r="V6" s="1" cm="1">
        <f t="array" ref="V6">ROUND(-_xlfn.XLOOKUP($C6,Biome[[Name]:[Name]],_xlfn.XLOOKUP(V$3,BiomeCompat[#Headers],BiomeCompat[]))/25, 2)</f>
        <v>-1.74</v>
      </c>
      <c r="W6" s="1" cm="1">
        <f t="array" ref="W6">ROUND(-_xlfn.XLOOKUP($C6,Biome[[Name]:[Name]],_xlfn.XLOOKUP(W$3,BiomeCompat[#Headers],BiomeCompat[]))/25, 2)</f>
        <v>-1.74</v>
      </c>
    </row>
    <row r="7" spans="1:23" x14ac:dyDescent="0.3">
      <c r="A7" s="1">
        <v>2</v>
      </c>
      <c r="B7" s="1" t="s">
        <v>8</v>
      </c>
      <c r="C7" s="1" t="s">
        <v>78</v>
      </c>
      <c r="D7" s="1">
        <f>LOOKUP(C7, Sheet2!F$3:F$21, Sheet2!E$3:E$21)</f>
        <v>10</v>
      </c>
      <c r="E7" s="1" cm="1">
        <f t="array" ref="E7">ROUND(-_xlfn.XLOOKUP($C7,Biome[[Name]:[Name]],_xlfn.XLOOKUP(E$3,BiomeCompat[#Headers],BiomeCompat[]))/25, 2)</f>
        <v>-0.52</v>
      </c>
      <c r="F7" s="1" cm="1">
        <f t="array" ref="F7">ROUND(-_xlfn.XLOOKUP($C7,Biome[[Name]:[Name]],_xlfn.XLOOKUP(F$3,BiomeCompat[#Headers],BiomeCompat[]))/25, 2)</f>
        <v>-0.52</v>
      </c>
      <c r="G7" s="1" cm="1">
        <f t="array" ref="G7">ROUND(-_xlfn.XLOOKUP($C7,Biome[[Name]:[Name]],_xlfn.XLOOKUP(G$3,BiomeCompat[#Headers],BiomeCompat[]))/25, 2)</f>
        <v>-0.54</v>
      </c>
      <c r="H7" s="1" cm="1">
        <f t="array" ref="H7">ROUND(-_xlfn.XLOOKUP($C7,Biome[[Name]:[Name]],_xlfn.XLOOKUP(H$3,BiomeCompat[#Headers],BiomeCompat[]))/25, 2)</f>
        <v>0</v>
      </c>
      <c r="I7" s="1" cm="1">
        <f t="array" ref="I7">ROUND(-_xlfn.XLOOKUP($C7,Biome[[Name]:[Name]],_xlfn.XLOOKUP(I$3,BiomeCompat[#Headers],BiomeCompat[]))/25, 2)</f>
        <v>0</v>
      </c>
      <c r="J7" s="1" cm="1">
        <f t="array" ref="J7">ROUND(-_xlfn.XLOOKUP($C7,Biome[[Name]:[Name]],_xlfn.XLOOKUP(J$3,BiomeCompat[#Headers],BiomeCompat[]))/25, 2)</f>
        <v>-0.12</v>
      </c>
      <c r="K7" s="1" cm="1">
        <f t="array" ref="K7">ROUND(-_xlfn.XLOOKUP($C7,Biome[[Name]:[Name]],_xlfn.XLOOKUP(K$3,BiomeCompat[#Headers],BiomeCompat[]))/25, 2)</f>
        <v>-0.14000000000000001</v>
      </c>
      <c r="L7" s="1" cm="1">
        <f t="array" ref="L7">ROUND(-_xlfn.XLOOKUP($C7,Biome[[Name]:[Name]],_xlfn.XLOOKUP(L$3,BiomeCompat[#Headers],BiomeCompat[]))/25, 2)</f>
        <v>-0.04</v>
      </c>
      <c r="M7" s="1" cm="1">
        <f t="array" ref="M7">ROUND(-_xlfn.XLOOKUP($C7,Biome[[Name]:[Name]],_xlfn.XLOOKUP(M$3,BiomeCompat[#Headers],BiomeCompat[]))/25, 2)</f>
        <v>-0.26</v>
      </c>
      <c r="N7" s="1" cm="1">
        <f t="array" ref="N7">ROUND(-_xlfn.XLOOKUP($C7,Biome[[Name]:[Name]],_xlfn.XLOOKUP(N$3,BiomeCompat[#Headers],BiomeCompat[]))/25, 2)</f>
        <v>-0.3</v>
      </c>
      <c r="O7" s="1" cm="1">
        <f t="array" ref="O7">ROUND(-_xlfn.XLOOKUP($C7,Biome[[Name]:[Name]],_xlfn.XLOOKUP(O$3,BiomeCompat[#Headers],BiomeCompat[]))/25, 2)</f>
        <v>-0.14000000000000001</v>
      </c>
      <c r="P7" s="1" cm="1">
        <f t="array" ref="P7">ROUND(-_xlfn.XLOOKUP($C7,Biome[[Name]:[Name]],_xlfn.XLOOKUP(P$3,BiomeCompat[#Headers],BiomeCompat[]))/25, 2)</f>
        <v>-0.2</v>
      </c>
      <c r="Q7" s="1" cm="1">
        <f t="array" ref="Q7">ROUND(-_xlfn.XLOOKUP($C7,Biome[[Name]:[Name]],_xlfn.XLOOKUP(Q$3,BiomeCompat[#Headers],BiomeCompat[]))/25, 2)</f>
        <v>-0.16</v>
      </c>
      <c r="R7" s="1" cm="1">
        <f t="array" ref="R7">ROUND(-_xlfn.XLOOKUP($C7,Biome[[Name]:[Name]],_xlfn.XLOOKUP(R$3,BiomeCompat[#Headers],BiomeCompat[]))/25, 2)</f>
        <v>-0.2</v>
      </c>
      <c r="S7" s="1" cm="1">
        <f t="array" ref="S7">ROUND(-_xlfn.XLOOKUP($C7,Biome[[Name]:[Name]],_xlfn.XLOOKUP(S$3,BiomeCompat[#Headers],BiomeCompat[]))/25, 2)</f>
        <v>-0.3</v>
      </c>
      <c r="T7" s="1" cm="1">
        <f t="array" ref="T7">ROUND(-_xlfn.XLOOKUP($C7,Biome[[Name]:[Name]],_xlfn.XLOOKUP(T$3,BiomeCompat[#Headers],BiomeCompat[]))/25, 2)</f>
        <v>-0.24</v>
      </c>
      <c r="U7" s="1" cm="1">
        <f t="array" ref="U7">ROUND(-_xlfn.XLOOKUP($C7,Biome[[Name]:[Name]],_xlfn.XLOOKUP(U$3,BiomeCompat[#Headers],BiomeCompat[]))/25, 2)</f>
        <v>-1.62</v>
      </c>
      <c r="V7" s="1" cm="1">
        <f t="array" ref="V7">ROUND(-_xlfn.XLOOKUP($C7,Biome[[Name]:[Name]],_xlfn.XLOOKUP(V$3,BiomeCompat[#Headers],BiomeCompat[]))/25, 2)</f>
        <v>-1.6</v>
      </c>
      <c r="W7" s="1" cm="1">
        <f t="array" ref="W7">ROUND(-_xlfn.XLOOKUP($C7,Biome[[Name]:[Name]],_xlfn.XLOOKUP(W$3,BiomeCompat[#Headers],BiomeCompat[]))/25, 2)</f>
        <v>-1.6</v>
      </c>
    </row>
    <row r="8" spans="1:23" x14ac:dyDescent="0.3">
      <c r="A8" s="1">
        <v>3</v>
      </c>
      <c r="B8" s="1" t="s">
        <v>9</v>
      </c>
      <c r="C8" s="1" t="s">
        <v>84</v>
      </c>
      <c r="D8" s="1">
        <f>LOOKUP(C8, Sheet2!F$3:F$21, Sheet2!E$3:E$21)</f>
        <v>8</v>
      </c>
      <c r="E8" s="1" cm="1">
        <f t="array" ref="E8">ROUND(-_xlfn.XLOOKUP($C8,Biome[[Name]:[Name]],_xlfn.XLOOKUP(E$3,BiomeCompat[#Headers],BiomeCompat[]))/25, 2)</f>
        <v>-0.64</v>
      </c>
      <c r="F8" s="1" cm="1">
        <f t="array" ref="F8">ROUND(-_xlfn.XLOOKUP($C8,Biome[[Name]:[Name]],_xlfn.XLOOKUP(F$3,BiomeCompat[#Headers],BiomeCompat[]))/25, 2)</f>
        <v>-0.64</v>
      </c>
      <c r="G8" s="1" cm="1">
        <f t="array" ref="G8">ROUND(-_xlfn.XLOOKUP($C8,Biome[[Name]:[Name]],_xlfn.XLOOKUP(G$3,BiomeCompat[#Headers],BiomeCompat[]))/25, 2)</f>
        <v>-0.57999999999999996</v>
      </c>
      <c r="H8" s="1" cm="1">
        <f t="array" ref="H8">ROUND(-_xlfn.XLOOKUP($C8,Biome[[Name]:[Name]],_xlfn.XLOOKUP(H$3,BiomeCompat[#Headers],BiomeCompat[]))/25, 2)</f>
        <v>-0.12</v>
      </c>
      <c r="I8" s="1" cm="1">
        <f t="array" ref="I8">ROUND(-_xlfn.XLOOKUP($C8,Biome[[Name]:[Name]],_xlfn.XLOOKUP(I$3,BiomeCompat[#Headers],BiomeCompat[]))/25, 2)</f>
        <v>-0.12</v>
      </c>
      <c r="J8" s="1" cm="1">
        <f t="array" ref="J8">ROUND(-_xlfn.XLOOKUP($C8,Biome[[Name]:[Name]],_xlfn.XLOOKUP(J$3,BiomeCompat[#Headers],BiomeCompat[]))/25, 2)</f>
        <v>0</v>
      </c>
      <c r="K8" s="1" cm="1">
        <f t="array" ref="K8">ROUND(-_xlfn.XLOOKUP($C8,Biome[[Name]:[Name]],_xlfn.XLOOKUP(K$3,BiomeCompat[#Headers],BiomeCompat[]))/25, 2)</f>
        <v>-0.06</v>
      </c>
      <c r="L8" s="1" cm="1">
        <f t="array" ref="L8">ROUND(-_xlfn.XLOOKUP($C8,Biome[[Name]:[Name]],_xlfn.XLOOKUP(L$3,BiomeCompat[#Headers],BiomeCompat[]))/25, 2)</f>
        <v>-0.08</v>
      </c>
      <c r="M8" s="1" cm="1">
        <f t="array" ref="M8">ROUND(-_xlfn.XLOOKUP($C8,Biome[[Name]:[Name]],_xlfn.XLOOKUP(M$3,BiomeCompat[#Headers],BiomeCompat[]))/25, 2)</f>
        <v>-0.14000000000000001</v>
      </c>
      <c r="N8" s="1" cm="1">
        <f t="array" ref="N8">ROUND(-_xlfn.XLOOKUP($C8,Biome[[Name]:[Name]],_xlfn.XLOOKUP(N$3,BiomeCompat[#Headers],BiomeCompat[]))/25, 2)</f>
        <v>-0.18</v>
      </c>
      <c r="O8" s="1" cm="1">
        <f t="array" ref="O8">ROUND(-_xlfn.XLOOKUP($C8,Biome[[Name]:[Name]],_xlfn.XLOOKUP(O$3,BiomeCompat[#Headers],BiomeCompat[]))/25, 2)</f>
        <v>-0.14000000000000001</v>
      </c>
      <c r="P8" s="1" cm="1">
        <f t="array" ref="P8">ROUND(-_xlfn.XLOOKUP($C8,Biome[[Name]:[Name]],_xlfn.XLOOKUP(P$3,BiomeCompat[#Headers],BiomeCompat[]))/25, 2)</f>
        <v>-0.12</v>
      </c>
      <c r="Q8" s="1" cm="1">
        <f t="array" ref="Q8">ROUND(-_xlfn.XLOOKUP($C8,Biome[[Name]:[Name]],_xlfn.XLOOKUP(Q$3,BiomeCompat[#Headers],BiomeCompat[]))/25, 2)</f>
        <v>-0.12</v>
      </c>
      <c r="R8" s="1" cm="1">
        <f t="array" ref="R8">ROUND(-_xlfn.XLOOKUP($C8,Biome[[Name]:[Name]],_xlfn.XLOOKUP(R$3,BiomeCompat[#Headers],BiomeCompat[]))/25, 2)</f>
        <v>-0.24</v>
      </c>
      <c r="S8" s="1" cm="1">
        <f t="array" ref="S8">ROUND(-_xlfn.XLOOKUP($C8,Biome[[Name]:[Name]],_xlfn.XLOOKUP(S$3,BiomeCompat[#Headers],BiomeCompat[]))/25, 2)</f>
        <v>-0.22</v>
      </c>
      <c r="T8" s="1" cm="1">
        <f t="array" ref="T8">ROUND(-_xlfn.XLOOKUP($C8,Biome[[Name]:[Name]],_xlfn.XLOOKUP(T$3,BiomeCompat[#Headers],BiomeCompat[]))/25, 2)</f>
        <v>-0.28000000000000003</v>
      </c>
      <c r="U8" s="1" cm="1">
        <f t="array" ref="U8">ROUND(-_xlfn.XLOOKUP($C8,Biome[[Name]:[Name]],_xlfn.XLOOKUP(U$3,BiomeCompat[#Headers],BiomeCompat[]))/25, 2)</f>
        <v>-1.62</v>
      </c>
      <c r="V8" s="1" cm="1">
        <f t="array" ref="V8">ROUND(-_xlfn.XLOOKUP($C8,Biome[[Name]:[Name]],_xlfn.XLOOKUP(V$3,BiomeCompat[#Headers],BiomeCompat[]))/25, 2)</f>
        <v>-1.72</v>
      </c>
      <c r="W8" s="1" cm="1">
        <f t="array" ref="W8">ROUND(-_xlfn.XLOOKUP($C8,Biome[[Name]:[Name]],_xlfn.XLOOKUP(W$3,BiomeCompat[#Headers],BiomeCompat[]))/25, 2)</f>
        <v>-1.72</v>
      </c>
    </row>
    <row r="9" spans="1:23" x14ac:dyDescent="0.3">
      <c r="A9" s="1">
        <v>4</v>
      </c>
      <c r="B9" s="1" t="s">
        <v>10</v>
      </c>
      <c r="C9" s="1" t="s">
        <v>79</v>
      </c>
      <c r="D9" s="1">
        <f>LOOKUP(C9, Sheet2!F$3:F$21, Sheet2!E$3:E$21)</f>
        <v>19</v>
      </c>
      <c r="E9" s="1" cm="1">
        <f t="array" ref="E9">ROUND(-_xlfn.XLOOKUP($C9,Biome[[Name]:[Name]],_xlfn.XLOOKUP(E$3,BiomeCompat[#Headers],BiomeCompat[]))/25, 2)</f>
        <v>-0.52</v>
      </c>
      <c r="F9" s="1" cm="1">
        <f t="array" ref="F9">ROUND(-_xlfn.XLOOKUP($C9,Biome[[Name]:[Name]],_xlfn.XLOOKUP(F$3,BiomeCompat[#Headers],BiomeCompat[]))/25, 2)</f>
        <v>-0.52</v>
      </c>
      <c r="G9" s="1" cm="1">
        <f t="array" ref="G9">ROUND(-_xlfn.XLOOKUP($C9,Biome[[Name]:[Name]],_xlfn.XLOOKUP(G$3,BiomeCompat[#Headers],BiomeCompat[]))/25, 2)</f>
        <v>-0.54</v>
      </c>
      <c r="H9" s="1" cm="1">
        <f t="array" ref="H9">ROUND(-_xlfn.XLOOKUP($C9,Biome[[Name]:[Name]],_xlfn.XLOOKUP(H$3,BiomeCompat[#Headers],BiomeCompat[]))/25, 2)</f>
        <v>0</v>
      </c>
      <c r="I9" s="1" cm="1">
        <f t="array" ref="I9">ROUND(-_xlfn.XLOOKUP($C9,Biome[[Name]:[Name]],_xlfn.XLOOKUP(I$3,BiomeCompat[#Headers],BiomeCompat[]))/25, 2)</f>
        <v>0</v>
      </c>
      <c r="J9" s="1" cm="1">
        <f t="array" ref="J9">ROUND(-_xlfn.XLOOKUP($C9,Biome[[Name]:[Name]],_xlfn.XLOOKUP(J$3,BiomeCompat[#Headers],BiomeCompat[]))/25, 2)</f>
        <v>-0.12</v>
      </c>
      <c r="K9" s="1" cm="1">
        <f t="array" ref="K9">ROUND(-_xlfn.XLOOKUP($C9,Biome[[Name]:[Name]],_xlfn.XLOOKUP(K$3,BiomeCompat[#Headers],BiomeCompat[]))/25, 2)</f>
        <v>-0.14000000000000001</v>
      </c>
      <c r="L9" s="1" cm="1">
        <f t="array" ref="L9">ROUND(-_xlfn.XLOOKUP($C9,Biome[[Name]:[Name]],_xlfn.XLOOKUP(L$3,BiomeCompat[#Headers],BiomeCompat[]))/25, 2)</f>
        <v>-0.04</v>
      </c>
      <c r="M9" s="1" cm="1">
        <f t="array" ref="M9">ROUND(-_xlfn.XLOOKUP($C9,Biome[[Name]:[Name]],_xlfn.XLOOKUP(M$3,BiomeCompat[#Headers],BiomeCompat[]))/25, 2)</f>
        <v>-0.26</v>
      </c>
      <c r="N9" s="1" cm="1">
        <f t="array" ref="N9">ROUND(-_xlfn.XLOOKUP($C9,Biome[[Name]:[Name]],_xlfn.XLOOKUP(N$3,BiomeCompat[#Headers],BiomeCompat[]))/25, 2)</f>
        <v>-0.3</v>
      </c>
      <c r="O9" s="1" cm="1">
        <f t="array" ref="O9">ROUND(-_xlfn.XLOOKUP($C9,Biome[[Name]:[Name]],_xlfn.XLOOKUP(O$3,BiomeCompat[#Headers],BiomeCompat[]))/25, 2)</f>
        <v>-0.14000000000000001</v>
      </c>
      <c r="P9" s="1" cm="1">
        <f t="array" ref="P9">ROUND(-_xlfn.XLOOKUP($C9,Biome[[Name]:[Name]],_xlfn.XLOOKUP(P$3,BiomeCompat[#Headers],BiomeCompat[]))/25, 2)</f>
        <v>-0.2</v>
      </c>
      <c r="Q9" s="1" cm="1">
        <f t="array" ref="Q9">ROUND(-_xlfn.XLOOKUP($C9,Biome[[Name]:[Name]],_xlfn.XLOOKUP(Q$3,BiomeCompat[#Headers],BiomeCompat[]))/25, 2)</f>
        <v>-0.16</v>
      </c>
      <c r="R9" s="1" cm="1">
        <f t="array" ref="R9">ROUND(-_xlfn.XLOOKUP($C9,Biome[[Name]:[Name]],_xlfn.XLOOKUP(R$3,BiomeCompat[#Headers],BiomeCompat[]))/25, 2)</f>
        <v>-0.2</v>
      </c>
      <c r="S9" s="1" cm="1">
        <f t="array" ref="S9">ROUND(-_xlfn.XLOOKUP($C9,Biome[[Name]:[Name]],_xlfn.XLOOKUP(S$3,BiomeCompat[#Headers],BiomeCompat[]))/25, 2)</f>
        <v>-0.3</v>
      </c>
      <c r="T9" s="1" cm="1">
        <f t="array" ref="T9">ROUND(-_xlfn.XLOOKUP($C9,Biome[[Name]:[Name]],_xlfn.XLOOKUP(T$3,BiomeCompat[#Headers],BiomeCompat[]))/25, 2)</f>
        <v>-0.24</v>
      </c>
      <c r="U9" s="1" cm="1">
        <f t="array" ref="U9">ROUND(-_xlfn.XLOOKUP($C9,Biome[[Name]:[Name]],_xlfn.XLOOKUP(U$3,BiomeCompat[#Headers],BiomeCompat[]))/25, 2)</f>
        <v>-1.62</v>
      </c>
      <c r="V9" s="1" cm="1">
        <f t="array" ref="V9">ROUND(-_xlfn.XLOOKUP($C9,Biome[[Name]:[Name]],_xlfn.XLOOKUP(V$3,BiomeCompat[#Headers],BiomeCompat[]))/25, 2)</f>
        <v>-1.6</v>
      </c>
      <c r="W9" s="1" cm="1">
        <f t="array" ref="W9">ROUND(-_xlfn.XLOOKUP($C9,Biome[[Name]:[Name]],_xlfn.XLOOKUP(W$3,BiomeCompat[#Headers],BiomeCompat[]))/25, 2)</f>
        <v>-1.6</v>
      </c>
    </row>
    <row r="10" spans="1:23" x14ac:dyDescent="0.3">
      <c r="A10" s="1">
        <v>5</v>
      </c>
      <c r="B10" s="1" t="s">
        <v>11</v>
      </c>
      <c r="C10" s="1" t="s">
        <v>80</v>
      </c>
      <c r="D10" s="1">
        <f>LOOKUP(C10, Sheet2!F$3:F$21, Sheet2!E$3:E$21)</f>
        <v>17</v>
      </c>
      <c r="E10" s="1" cm="1">
        <f t="array" ref="E10">ROUND(-_xlfn.XLOOKUP($C10,Biome[[Name]:[Name]],_xlfn.XLOOKUP(E$3,BiomeCompat[#Headers],BiomeCompat[]))/25, 2)</f>
        <v>-0.68</v>
      </c>
      <c r="F10" s="1" cm="1">
        <f t="array" ref="F10">ROUND(-_xlfn.XLOOKUP($C10,Biome[[Name]:[Name]],_xlfn.XLOOKUP(F$3,BiomeCompat[#Headers],BiomeCompat[]))/25, 2)</f>
        <v>-0.68</v>
      </c>
      <c r="G10" s="1" cm="1">
        <f t="array" ref="G10">ROUND(-_xlfn.XLOOKUP($C10,Biome[[Name]:[Name]],_xlfn.XLOOKUP(G$3,BiomeCompat[#Headers],BiomeCompat[]))/25, 2)</f>
        <v>-0.62</v>
      </c>
      <c r="H10" s="1" cm="1">
        <f t="array" ref="H10">ROUND(-_xlfn.XLOOKUP($C10,Biome[[Name]:[Name]],_xlfn.XLOOKUP(H$3,BiomeCompat[#Headers],BiomeCompat[]))/25, 2)</f>
        <v>-0.16</v>
      </c>
      <c r="I10" s="1" cm="1">
        <f t="array" ref="I10">ROUND(-_xlfn.XLOOKUP($C10,Biome[[Name]:[Name]],_xlfn.XLOOKUP(I$3,BiomeCompat[#Headers],BiomeCompat[]))/25, 2)</f>
        <v>-0.16</v>
      </c>
      <c r="J10" s="1" cm="1">
        <f t="array" ref="J10">ROUND(-_xlfn.XLOOKUP($C10,Biome[[Name]:[Name]],_xlfn.XLOOKUP(J$3,BiomeCompat[#Headers],BiomeCompat[]))/25, 2)</f>
        <v>-0.12</v>
      </c>
      <c r="K10" s="1" cm="1">
        <f t="array" ref="K10">ROUND(-_xlfn.XLOOKUP($C10,Biome[[Name]:[Name]],_xlfn.XLOOKUP(K$3,BiomeCompat[#Headers],BiomeCompat[]))/25, 2)</f>
        <v>-0.06</v>
      </c>
      <c r="L10" s="1" cm="1">
        <f t="array" ref="L10">ROUND(-_xlfn.XLOOKUP($C10,Biome[[Name]:[Name]],_xlfn.XLOOKUP(L$3,BiomeCompat[#Headers],BiomeCompat[]))/25, 2)</f>
        <v>-0.12</v>
      </c>
      <c r="M10" s="1" cm="1">
        <f t="array" ref="M10">ROUND(-_xlfn.XLOOKUP($C10,Biome[[Name]:[Name]],_xlfn.XLOOKUP(M$3,BiomeCompat[#Headers],BiomeCompat[]))/25, 2)</f>
        <v>-0.18</v>
      </c>
      <c r="N10" s="1" cm="1">
        <f t="array" ref="N10">ROUND(-_xlfn.XLOOKUP($C10,Biome[[Name]:[Name]],_xlfn.XLOOKUP(N$3,BiomeCompat[#Headers],BiomeCompat[]))/25, 2)</f>
        <v>-0.14000000000000001</v>
      </c>
      <c r="O10" s="1" cm="1">
        <f t="array" ref="O10">ROUND(-_xlfn.XLOOKUP($C10,Biome[[Name]:[Name]],_xlfn.XLOOKUP(O$3,BiomeCompat[#Headers],BiomeCompat[]))/25, 2)</f>
        <v>-0.02</v>
      </c>
      <c r="P10" s="1" cm="1">
        <f t="array" ref="P10">ROUND(-_xlfn.XLOOKUP($C10,Biome[[Name]:[Name]],_xlfn.XLOOKUP(P$3,BiomeCompat[#Headers],BiomeCompat[]))/25, 2)</f>
        <v>-0.04</v>
      </c>
      <c r="Q10" s="1" cm="1">
        <f t="array" ref="Q10">ROUND(-_xlfn.XLOOKUP($C10,Biome[[Name]:[Name]],_xlfn.XLOOKUP(Q$3,BiomeCompat[#Headers],BiomeCompat[]))/25, 2)</f>
        <v>0</v>
      </c>
      <c r="R10" s="1" cm="1">
        <f t="array" ref="R10">ROUND(-_xlfn.XLOOKUP($C10,Biome[[Name]:[Name]],_xlfn.XLOOKUP(R$3,BiomeCompat[#Headers],BiomeCompat[]))/25, 2)</f>
        <v>-0.12</v>
      </c>
      <c r="S10" s="1" cm="1">
        <f t="array" ref="S10">ROUND(-_xlfn.XLOOKUP($C10,Biome[[Name]:[Name]],_xlfn.XLOOKUP(S$3,BiomeCompat[#Headers],BiomeCompat[]))/25, 2)</f>
        <v>-0.14000000000000001</v>
      </c>
      <c r="T10" s="1" cm="1">
        <f t="array" ref="T10">ROUND(-_xlfn.XLOOKUP($C10,Biome[[Name]:[Name]],_xlfn.XLOOKUP(T$3,BiomeCompat[#Headers],BiomeCompat[]))/25, 2)</f>
        <v>-0.16</v>
      </c>
      <c r="U10" s="1" cm="1">
        <f t="array" ref="U10">ROUND(-_xlfn.XLOOKUP($C10,Biome[[Name]:[Name]],_xlfn.XLOOKUP(U$3,BiomeCompat[#Headers],BiomeCompat[]))/25, 2)</f>
        <v>-1.54</v>
      </c>
      <c r="V10" s="1" cm="1">
        <f t="array" ref="V10">ROUND(-_xlfn.XLOOKUP($C10,Biome[[Name]:[Name]],_xlfn.XLOOKUP(V$3,BiomeCompat[#Headers],BiomeCompat[]))/25, 2)</f>
        <v>-1.6</v>
      </c>
      <c r="W10" s="1" cm="1">
        <f t="array" ref="W10">ROUND(-_xlfn.XLOOKUP($C10,Biome[[Name]:[Name]],_xlfn.XLOOKUP(W$3,BiomeCompat[#Headers],BiomeCompat[]))/25, 2)</f>
        <v>-1.6</v>
      </c>
    </row>
    <row r="11" spans="1:23" x14ac:dyDescent="0.3">
      <c r="A11" s="1">
        <v>6</v>
      </c>
      <c r="B11" s="1" t="s">
        <v>12</v>
      </c>
      <c r="C11" s="1" t="s">
        <v>77</v>
      </c>
      <c r="D11" s="1">
        <f>LOOKUP(C11, Sheet2!F$3:F$21, Sheet2!E$3:E$21)</f>
        <v>12</v>
      </c>
      <c r="E11" s="1" cm="1">
        <f t="array" ref="E11">ROUND(-_xlfn.XLOOKUP($C11,Biome[[Name]:[Name]],_xlfn.XLOOKUP(E$3,BiomeCompat[#Headers],BiomeCompat[]))/25, 2)</f>
        <v>0</v>
      </c>
      <c r="F11" s="1" cm="1">
        <f t="array" ref="F11">ROUND(-_xlfn.XLOOKUP($C11,Biome[[Name]:[Name]],_xlfn.XLOOKUP(F$3,BiomeCompat[#Headers],BiomeCompat[]))/25, 2)</f>
        <v>0</v>
      </c>
      <c r="G11" s="1" cm="1">
        <f t="array" ref="G11">ROUND(-_xlfn.XLOOKUP($C11,Biome[[Name]:[Name]],_xlfn.XLOOKUP(G$3,BiomeCompat[#Headers],BiomeCompat[]))/25, 2)</f>
        <v>-0.06</v>
      </c>
      <c r="H11" s="1" cm="1">
        <f t="array" ref="H11">ROUND(-_xlfn.XLOOKUP($C11,Biome[[Name]:[Name]],_xlfn.XLOOKUP(H$3,BiomeCompat[#Headers],BiomeCompat[]))/25, 2)</f>
        <v>-0.52</v>
      </c>
      <c r="I11" s="1" cm="1">
        <f t="array" ref="I11">ROUND(-_xlfn.XLOOKUP($C11,Biome[[Name]:[Name]],_xlfn.XLOOKUP(I$3,BiomeCompat[#Headers],BiomeCompat[]))/25, 2)</f>
        <v>-0.52</v>
      </c>
      <c r="J11" s="1" cm="1">
        <f t="array" ref="J11">ROUND(-_xlfn.XLOOKUP($C11,Biome[[Name]:[Name]],_xlfn.XLOOKUP(J$3,BiomeCompat[#Headers],BiomeCompat[]))/25, 2)</f>
        <v>-0.64</v>
      </c>
      <c r="K11" s="1" cm="1">
        <f t="array" ref="K11">ROUND(-_xlfn.XLOOKUP($C11,Biome[[Name]:[Name]],_xlfn.XLOOKUP(K$3,BiomeCompat[#Headers],BiomeCompat[]))/25, 2)</f>
        <v>-0.66</v>
      </c>
      <c r="L11" s="1" cm="1">
        <f t="array" ref="L11">ROUND(-_xlfn.XLOOKUP($C11,Biome[[Name]:[Name]],_xlfn.XLOOKUP(L$3,BiomeCompat[#Headers],BiomeCompat[]))/25, 2)</f>
        <v>-0.56000000000000005</v>
      </c>
      <c r="M11" s="1" cm="1">
        <f t="array" ref="M11">ROUND(-_xlfn.XLOOKUP($C11,Biome[[Name]:[Name]],_xlfn.XLOOKUP(M$3,BiomeCompat[#Headers],BiomeCompat[]))/25, 2)</f>
        <v>-0.78</v>
      </c>
      <c r="N11" s="1" cm="1">
        <f t="array" ref="N11">ROUND(-_xlfn.XLOOKUP($C11,Biome[[Name]:[Name]],_xlfn.XLOOKUP(N$3,BiomeCompat[#Headers],BiomeCompat[]))/25, 2)</f>
        <v>-0.82</v>
      </c>
      <c r="O11" s="1" cm="1">
        <f t="array" ref="O11">ROUND(-_xlfn.XLOOKUP($C11,Biome[[Name]:[Name]],_xlfn.XLOOKUP(O$3,BiomeCompat[#Headers],BiomeCompat[]))/25, 2)</f>
        <v>-0.66</v>
      </c>
      <c r="P11" s="1" cm="1">
        <f t="array" ref="P11">ROUND(-_xlfn.XLOOKUP($C11,Biome[[Name]:[Name]],_xlfn.XLOOKUP(P$3,BiomeCompat[#Headers],BiomeCompat[]))/25, 2)</f>
        <v>-0.72</v>
      </c>
      <c r="Q11" s="1" cm="1">
        <f t="array" ref="Q11">ROUND(-_xlfn.XLOOKUP($C11,Biome[[Name]:[Name]],_xlfn.XLOOKUP(Q$3,BiomeCompat[#Headers],BiomeCompat[]))/25, 2)</f>
        <v>-0.68</v>
      </c>
      <c r="R11" s="1" cm="1">
        <f t="array" ref="R11">ROUND(-_xlfn.XLOOKUP($C11,Biome[[Name]:[Name]],_xlfn.XLOOKUP(R$3,BiomeCompat[#Headers],BiomeCompat[]))/25, 2)</f>
        <v>-0.72</v>
      </c>
      <c r="S11" s="1" cm="1">
        <f t="array" ref="S11">ROUND(-_xlfn.XLOOKUP($C11,Biome[[Name]:[Name]],_xlfn.XLOOKUP(S$3,BiomeCompat[#Headers],BiomeCompat[]))/25, 2)</f>
        <v>-0.82</v>
      </c>
      <c r="T11" s="1" cm="1">
        <f t="array" ref="T11">ROUND(-_xlfn.XLOOKUP($C11,Biome[[Name]:[Name]],_xlfn.XLOOKUP(T$3,BiomeCompat[#Headers],BiomeCompat[]))/25, 2)</f>
        <v>-0.76</v>
      </c>
      <c r="U11" s="1" cm="1">
        <f t="array" ref="U11">ROUND(-_xlfn.XLOOKUP($C11,Biome[[Name]:[Name]],_xlfn.XLOOKUP(U$3,BiomeCompat[#Headers],BiomeCompat[]))/25, 2)</f>
        <v>-1.34</v>
      </c>
      <c r="V11" s="1" cm="1">
        <f t="array" ref="V11">ROUND(-_xlfn.XLOOKUP($C11,Biome[[Name]:[Name]],_xlfn.XLOOKUP(V$3,BiomeCompat[#Headers],BiomeCompat[]))/25, 2)</f>
        <v>-1.24</v>
      </c>
      <c r="W11" s="1" cm="1">
        <f t="array" ref="W11">ROUND(-_xlfn.XLOOKUP($C11,Biome[[Name]:[Name]],_xlfn.XLOOKUP(W$3,BiomeCompat[#Headers],BiomeCompat[]))/25, 2)</f>
        <v>-1.24</v>
      </c>
    </row>
    <row r="12" spans="1:23" x14ac:dyDescent="0.3">
      <c r="A12" s="1">
        <v>7</v>
      </c>
      <c r="B12" s="1" t="s">
        <v>32</v>
      </c>
      <c r="C12" s="1" t="s">
        <v>75</v>
      </c>
      <c r="D12" s="1">
        <f>LOOKUP(C12, Sheet2!F$3:F$21, Sheet2!E$3:E$21)</f>
        <v>11</v>
      </c>
      <c r="E12" s="1" cm="1">
        <f t="array" ref="E12">ROUND(-_xlfn.XLOOKUP($C12,Biome[[Name]:[Name]],_xlfn.XLOOKUP(E$3,BiomeCompat[#Headers],BiomeCompat[]))/25, 2)</f>
        <v>-0.82</v>
      </c>
      <c r="F12" s="1" cm="1">
        <f t="array" ref="F12">ROUND(-_xlfn.XLOOKUP($C12,Biome[[Name]:[Name]],_xlfn.XLOOKUP(F$3,BiomeCompat[#Headers],BiomeCompat[]))/25, 2)</f>
        <v>-0.82</v>
      </c>
      <c r="G12" s="1" cm="1">
        <f t="array" ref="G12">ROUND(-_xlfn.XLOOKUP($C12,Biome[[Name]:[Name]],_xlfn.XLOOKUP(G$3,BiomeCompat[#Headers],BiomeCompat[]))/25, 2)</f>
        <v>-0.76</v>
      </c>
      <c r="H12" s="1" cm="1">
        <f t="array" ref="H12">ROUND(-_xlfn.XLOOKUP($C12,Biome[[Name]:[Name]],_xlfn.XLOOKUP(H$3,BiomeCompat[#Headers],BiomeCompat[]))/25, 2)</f>
        <v>-0.3</v>
      </c>
      <c r="I12" s="1" cm="1">
        <f t="array" ref="I12">ROUND(-_xlfn.XLOOKUP($C12,Biome[[Name]:[Name]],_xlfn.XLOOKUP(I$3,BiomeCompat[#Headers],BiomeCompat[]))/25, 2)</f>
        <v>-0.3</v>
      </c>
      <c r="J12" s="1" cm="1">
        <f t="array" ref="J12">ROUND(-_xlfn.XLOOKUP($C12,Biome[[Name]:[Name]],_xlfn.XLOOKUP(J$3,BiomeCompat[#Headers],BiomeCompat[]))/25, 2)</f>
        <v>-0.22</v>
      </c>
      <c r="K12" s="1" cm="1">
        <f t="array" ref="K12">ROUND(-_xlfn.XLOOKUP($C12,Biome[[Name]:[Name]],_xlfn.XLOOKUP(K$3,BiomeCompat[#Headers],BiomeCompat[]))/25, 2)</f>
        <v>-0.16</v>
      </c>
      <c r="L12" s="1" cm="1">
        <f t="array" ref="L12">ROUND(-_xlfn.XLOOKUP($C12,Biome[[Name]:[Name]],_xlfn.XLOOKUP(L$3,BiomeCompat[#Headers],BiomeCompat[]))/25, 2)</f>
        <v>-0.26</v>
      </c>
      <c r="M12" s="1" cm="1">
        <f t="array" ref="M12">ROUND(-_xlfn.XLOOKUP($C12,Biome[[Name]:[Name]],_xlfn.XLOOKUP(M$3,BiomeCompat[#Headers],BiomeCompat[]))/25, 2)</f>
        <v>-0.28000000000000003</v>
      </c>
      <c r="N12" s="1" cm="1">
        <f t="array" ref="N12">ROUND(-_xlfn.XLOOKUP($C12,Biome[[Name]:[Name]],_xlfn.XLOOKUP(N$3,BiomeCompat[#Headers],BiomeCompat[]))/25, 2)</f>
        <v>-0.24</v>
      </c>
      <c r="O12" s="1" cm="1">
        <f t="array" ref="O12">ROUND(-_xlfn.XLOOKUP($C12,Biome[[Name]:[Name]],_xlfn.XLOOKUP(O$3,BiomeCompat[#Headers],BiomeCompat[]))/25, 2)</f>
        <v>-0.16</v>
      </c>
      <c r="P12" s="1" cm="1">
        <f t="array" ref="P12">ROUND(-_xlfn.XLOOKUP($C12,Biome[[Name]:[Name]],_xlfn.XLOOKUP(P$3,BiomeCompat[#Headers],BiomeCompat[]))/25, 2)</f>
        <v>-0.18</v>
      </c>
      <c r="Q12" s="1" cm="1">
        <f t="array" ref="Q12">ROUND(-_xlfn.XLOOKUP($C12,Biome[[Name]:[Name]],_xlfn.XLOOKUP(Q$3,BiomeCompat[#Headers],BiomeCompat[]))/25, 2)</f>
        <v>-0.14000000000000001</v>
      </c>
      <c r="R12" s="1" cm="1">
        <f t="array" ref="R12">ROUND(-_xlfn.XLOOKUP($C12,Biome[[Name]:[Name]],_xlfn.XLOOKUP(R$3,BiomeCompat[#Headers],BiomeCompat[]))/25, 2)</f>
        <v>-0.1</v>
      </c>
      <c r="S12" s="1" cm="1">
        <f t="array" ref="S12">ROUND(-_xlfn.XLOOKUP($C12,Biome[[Name]:[Name]],_xlfn.XLOOKUP(S$3,BiomeCompat[#Headers],BiomeCompat[]))/25, 2)</f>
        <v>0</v>
      </c>
      <c r="T12" s="1" cm="1">
        <f t="array" ref="T12">ROUND(-_xlfn.XLOOKUP($C12,Biome[[Name]:[Name]],_xlfn.XLOOKUP(T$3,BiomeCompat[#Headers],BiomeCompat[]))/25, 2)</f>
        <v>-0.06</v>
      </c>
      <c r="U12" s="1" cm="1">
        <f t="array" ref="U12">ROUND(-_xlfn.XLOOKUP($C12,Biome[[Name]:[Name]],_xlfn.XLOOKUP(U$3,BiomeCompat[#Headers],BiomeCompat[]))/25, 2)</f>
        <v>-1.44</v>
      </c>
      <c r="V12" s="1" cm="1">
        <f t="array" ref="V12">ROUND(-_xlfn.XLOOKUP($C12,Biome[[Name]:[Name]],_xlfn.XLOOKUP(V$3,BiomeCompat[#Headers],BiomeCompat[]))/25, 2)</f>
        <v>-1.5</v>
      </c>
      <c r="W12" s="1" cm="1">
        <f t="array" ref="W12">ROUND(-_xlfn.XLOOKUP($C12,Biome[[Name]:[Name]],_xlfn.XLOOKUP(W$3,BiomeCompat[#Headers],BiomeCompat[]))/25, 2)</f>
        <v>-1.5</v>
      </c>
    </row>
    <row r="13" spans="1:23" x14ac:dyDescent="0.3">
      <c r="A13" s="1">
        <v>8</v>
      </c>
      <c r="B13" s="1" t="s">
        <v>13</v>
      </c>
      <c r="C13" s="1" t="s">
        <v>82</v>
      </c>
      <c r="D13" s="1">
        <f>LOOKUP(C13, Sheet2!F$3:F$21, Sheet2!E$3:E$21)</f>
        <v>23</v>
      </c>
      <c r="E13" s="1" cm="1">
        <f t="array" ref="E13">ROUND(-_xlfn.XLOOKUP($C13,Biome[[Name]:[Name]],_xlfn.XLOOKUP(E$3,BiomeCompat[#Headers],BiomeCompat[]))/25, 2)</f>
        <v>-0.82</v>
      </c>
      <c r="F13" s="1" cm="1">
        <f t="array" ref="F13">ROUND(-_xlfn.XLOOKUP($C13,Biome[[Name]:[Name]],_xlfn.XLOOKUP(F$3,BiomeCompat[#Headers],BiomeCompat[]))/25, 2)</f>
        <v>-0.82</v>
      </c>
      <c r="G13" s="1" cm="1">
        <f t="array" ref="G13">ROUND(-_xlfn.XLOOKUP($C13,Biome[[Name]:[Name]],_xlfn.XLOOKUP(G$3,BiomeCompat[#Headers],BiomeCompat[]))/25, 2)</f>
        <v>-0.76</v>
      </c>
      <c r="H13" s="1" cm="1">
        <f t="array" ref="H13">ROUND(-_xlfn.XLOOKUP($C13,Biome[[Name]:[Name]],_xlfn.XLOOKUP(H$3,BiomeCompat[#Headers],BiomeCompat[]))/25, 2)</f>
        <v>-0.3</v>
      </c>
      <c r="I13" s="1" cm="1">
        <f t="array" ref="I13">ROUND(-_xlfn.XLOOKUP($C13,Biome[[Name]:[Name]],_xlfn.XLOOKUP(I$3,BiomeCompat[#Headers],BiomeCompat[]))/25, 2)</f>
        <v>-0.3</v>
      </c>
      <c r="J13" s="1" cm="1">
        <f t="array" ref="J13">ROUND(-_xlfn.XLOOKUP($C13,Biome[[Name]:[Name]],_xlfn.XLOOKUP(J$3,BiomeCompat[#Headers],BiomeCompat[]))/25, 2)</f>
        <v>-0.18</v>
      </c>
      <c r="K13" s="1" cm="1">
        <f t="array" ref="K13">ROUND(-_xlfn.XLOOKUP($C13,Biome[[Name]:[Name]],_xlfn.XLOOKUP(K$3,BiomeCompat[#Headers],BiomeCompat[]))/25, 2)</f>
        <v>-0.16</v>
      </c>
      <c r="L13" s="1" cm="1">
        <f t="array" ref="L13">ROUND(-_xlfn.XLOOKUP($C13,Biome[[Name]:[Name]],_xlfn.XLOOKUP(L$3,BiomeCompat[#Headers],BiomeCompat[]))/25, 2)</f>
        <v>-0.26</v>
      </c>
      <c r="M13" s="1" cm="1">
        <f t="array" ref="M13">ROUND(-_xlfn.XLOOKUP($C13,Biome[[Name]:[Name]],_xlfn.XLOOKUP(M$3,BiomeCompat[#Headers],BiomeCompat[]))/25, 2)</f>
        <v>-0.04</v>
      </c>
      <c r="N13" s="1" cm="1">
        <f t="array" ref="N13">ROUND(-_xlfn.XLOOKUP($C13,Biome[[Name]:[Name]],_xlfn.XLOOKUP(N$3,BiomeCompat[#Headers],BiomeCompat[]))/25, 2)</f>
        <v>0</v>
      </c>
      <c r="O13" s="1" cm="1">
        <f t="array" ref="O13">ROUND(-_xlfn.XLOOKUP($C13,Biome[[Name]:[Name]],_xlfn.XLOOKUP(O$3,BiomeCompat[#Headers],BiomeCompat[]))/25, 2)</f>
        <v>-0.16</v>
      </c>
      <c r="P13" s="1" cm="1">
        <f t="array" ref="P13">ROUND(-_xlfn.XLOOKUP($C13,Biome[[Name]:[Name]],_xlfn.XLOOKUP(P$3,BiomeCompat[#Headers],BiomeCompat[]))/25, 2)</f>
        <v>-0.1</v>
      </c>
      <c r="Q13" s="1" cm="1">
        <f t="array" ref="Q13">ROUND(-_xlfn.XLOOKUP($C13,Biome[[Name]:[Name]],_xlfn.XLOOKUP(Q$3,BiomeCompat[#Headers],BiomeCompat[]))/25, 2)</f>
        <v>-0.14000000000000001</v>
      </c>
      <c r="R13" s="1" cm="1">
        <f t="array" ref="R13">ROUND(-_xlfn.XLOOKUP($C13,Biome[[Name]:[Name]],_xlfn.XLOOKUP(R$3,BiomeCompat[#Headers],BiomeCompat[]))/25, 2)</f>
        <v>-0.26</v>
      </c>
      <c r="S13" s="1" cm="1">
        <f t="array" ref="S13">ROUND(-_xlfn.XLOOKUP($C13,Biome[[Name]:[Name]],_xlfn.XLOOKUP(S$3,BiomeCompat[#Headers],BiomeCompat[]))/25, 2)</f>
        <v>-0.24</v>
      </c>
      <c r="T13" s="1" cm="1">
        <f t="array" ref="T13">ROUND(-_xlfn.XLOOKUP($C13,Biome[[Name]:[Name]],_xlfn.XLOOKUP(T$3,BiomeCompat[#Headers],BiomeCompat[]))/25, 2)</f>
        <v>-0.3</v>
      </c>
      <c r="U13" s="1" cm="1">
        <f t="array" ref="U13">ROUND(-_xlfn.XLOOKUP($C13,Biome[[Name]:[Name]],_xlfn.XLOOKUP(U$3,BiomeCompat[#Headers],BiomeCompat[]))/25, 2)</f>
        <v>-1.64</v>
      </c>
      <c r="V13" s="1" cm="1">
        <f t="array" ref="V13">ROUND(-_xlfn.XLOOKUP($C13,Biome[[Name]:[Name]],_xlfn.XLOOKUP(V$3,BiomeCompat[#Headers],BiomeCompat[]))/25, 2)</f>
        <v>-1.74</v>
      </c>
      <c r="W13" s="1" cm="1">
        <f t="array" ref="W13">ROUND(-_xlfn.XLOOKUP($C13,Biome[[Name]:[Name]],_xlfn.XLOOKUP(W$3,BiomeCompat[#Headers],BiomeCompat[]))/25, 2)</f>
        <v>-1.74</v>
      </c>
    </row>
    <row r="14" spans="1:23" x14ac:dyDescent="0.3">
      <c r="A14" s="1">
        <v>9</v>
      </c>
      <c r="B14" s="1" t="s">
        <v>14</v>
      </c>
      <c r="C14" s="1" t="s">
        <v>80</v>
      </c>
      <c r="D14" s="1">
        <f>LOOKUP(C14, Sheet2!F$3:F$21, Sheet2!E$3:E$21)</f>
        <v>17</v>
      </c>
      <c r="E14" s="1" cm="1">
        <f t="array" ref="E14">ROUND(-_xlfn.XLOOKUP($C14,Biome[[Name]:[Name]],_xlfn.XLOOKUP(E$3,BiomeCompat[#Headers],BiomeCompat[]))/25, 2)</f>
        <v>-0.68</v>
      </c>
      <c r="F14" s="1" cm="1">
        <f t="array" ref="F14">ROUND(-_xlfn.XLOOKUP($C14,Biome[[Name]:[Name]],_xlfn.XLOOKUP(F$3,BiomeCompat[#Headers],BiomeCompat[]))/25, 2)</f>
        <v>-0.68</v>
      </c>
      <c r="G14" s="1" cm="1">
        <f t="array" ref="G14">ROUND(-_xlfn.XLOOKUP($C14,Biome[[Name]:[Name]],_xlfn.XLOOKUP(G$3,BiomeCompat[#Headers],BiomeCompat[]))/25, 2)</f>
        <v>-0.62</v>
      </c>
      <c r="H14" s="1" cm="1">
        <f t="array" ref="H14">ROUND(-_xlfn.XLOOKUP($C14,Biome[[Name]:[Name]],_xlfn.XLOOKUP(H$3,BiomeCompat[#Headers],BiomeCompat[]))/25, 2)</f>
        <v>-0.16</v>
      </c>
      <c r="I14" s="1" cm="1">
        <f t="array" ref="I14">ROUND(-_xlfn.XLOOKUP($C14,Biome[[Name]:[Name]],_xlfn.XLOOKUP(I$3,BiomeCompat[#Headers],BiomeCompat[]))/25, 2)</f>
        <v>-0.16</v>
      </c>
      <c r="J14" s="1" cm="1">
        <f t="array" ref="J14">ROUND(-_xlfn.XLOOKUP($C14,Biome[[Name]:[Name]],_xlfn.XLOOKUP(J$3,BiomeCompat[#Headers],BiomeCompat[]))/25, 2)</f>
        <v>-0.12</v>
      </c>
      <c r="K14" s="1" cm="1">
        <f t="array" ref="K14">ROUND(-_xlfn.XLOOKUP($C14,Biome[[Name]:[Name]],_xlfn.XLOOKUP(K$3,BiomeCompat[#Headers],BiomeCompat[]))/25, 2)</f>
        <v>-0.06</v>
      </c>
      <c r="L14" s="1" cm="1">
        <f t="array" ref="L14">ROUND(-_xlfn.XLOOKUP($C14,Biome[[Name]:[Name]],_xlfn.XLOOKUP(L$3,BiomeCompat[#Headers],BiomeCompat[]))/25, 2)</f>
        <v>-0.12</v>
      </c>
      <c r="M14" s="1" cm="1">
        <f t="array" ref="M14">ROUND(-_xlfn.XLOOKUP($C14,Biome[[Name]:[Name]],_xlfn.XLOOKUP(M$3,BiomeCompat[#Headers],BiomeCompat[]))/25, 2)</f>
        <v>-0.18</v>
      </c>
      <c r="N14" s="1" cm="1">
        <f t="array" ref="N14">ROUND(-_xlfn.XLOOKUP($C14,Biome[[Name]:[Name]],_xlfn.XLOOKUP(N$3,BiomeCompat[#Headers],BiomeCompat[]))/25, 2)</f>
        <v>-0.14000000000000001</v>
      </c>
      <c r="O14" s="1" cm="1">
        <f t="array" ref="O14">ROUND(-_xlfn.XLOOKUP($C14,Biome[[Name]:[Name]],_xlfn.XLOOKUP(O$3,BiomeCompat[#Headers],BiomeCompat[]))/25, 2)</f>
        <v>-0.02</v>
      </c>
      <c r="P14" s="1" cm="1">
        <f t="array" ref="P14">ROUND(-_xlfn.XLOOKUP($C14,Biome[[Name]:[Name]],_xlfn.XLOOKUP(P$3,BiomeCompat[#Headers],BiomeCompat[]))/25, 2)</f>
        <v>-0.04</v>
      </c>
      <c r="Q14" s="1" cm="1">
        <f t="array" ref="Q14">ROUND(-_xlfn.XLOOKUP($C14,Biome[[Name]:[Name]],_xlfn.XLOOKUP(Q$3,BiomeCompat[#Headers],BiomeCompat[]))/25, 2)</f>
        <v>0</v>
      </c>
      <c r="R14" s="1" cm="1">
        <f t="array" ref="R14">ROUND(-_xlfn.XLOOKUP($C14,Biome[[Name]:[Name]],_xlfn.XLOOKUP(R$3,BiomeCompat[#Headers],BiomeCompat[]))/25, 2)</f>
        <v>-0.12</v>
      </c>
      <c r="S14" s="1" cm="1">
        <f t="array" ref="S14">ROUND(-_xlfn.XLOOKUP($C14,Biome[[Name]:[Name]],_xlfn.XLOOKUP(S$3,BiomeCompat[#Headers],BiomeCompat[]))/25, 2)</f>
        <v>-0.14000000000000001</v>
      </c>
      <c r="T14" s="1" cm="1">
        <f t="array" ref="T14">ROUND(-_xlfn.XLOOKUP($C14,Biome[[Name]:[Name]],_xlfn.XLOOKUP(T$3,BiomeCompat[#Headers],BiomeCompat[]))/25, 2)</f>
        <v>-0.16</v>
      </c>
      <c r="U14" s="1" cm="1">
        <f t="array" ref="U14">ROUND(-_xlfn.XLOOKUP($C14,Biome[[Name]:[Name]],_xlfn.XLOOKUP(U$3,BiomeCompat[#Headers],BiomeCompat[]))/25, 2)</f>
        <v>-1.54</v>
      </c>
      <c r="V14" s="1" cm="1">
        <f t="array" ref="V14">ROUND(-_xlfn.XLOOKUP($C14,Biome[[Name]:[Name]],_xlfn.XLOOKUP(V$3,BiomeCompat[#Headers],BiomeCompat[]))/25, 2)</f>
        <v>-1.6</v>
      </c>
      <c r="W14" s="1" cm="1">
        <f t="array" ref="W14">ROUND(-_xlfn.XLOOKUP($C14,Biome[[Name]:[Name]],_xlfn.XLOOKUP(W$3,BiomeCompat[#Headers],BiomeCompat[]))/25, 2)</f>
        <v>-1.6</v>
      </c>
    </row>
    <row r="15" spans="1:23" x14ac:dyDescent="0.3">
      <c r="A15" s="1">
        <v>10</v>
      </c>
      <c r="B15" s="1" t="s">
        <v>15</v>
      </c>
      <c r="C15" s="1" t="s">
        <v>34</v>
      </c>
      <c r="D15" s="1">
        <f>LOOKUP(C15, Sheet2!F$3:F$21, Sheet2!E$3:E$21)</f>
        <v>20</v>
      </c>
      <c r="E15" s="1" cm="1">
        <f t="array" ref="E15">ROUND(-_xlfn.XLOOKUP($C15,Biome[[Name]:[Name]],_xlfn.XLOOKUP(E$3,BiomeCompat[#Headers],BiomeCompat[]))/25, 2)</f>
        <v>-0.56000000000000005</v>
      </c>
      <c r="F15" s="1" cm="1">
        <f t="array" ref="F15">ROUND(-_xlfn.XLOOKUP($C15,Biome[[Name]:[Name]],_xlfn.XLOOKUP(F$3,BiomeCompat[#Headers],BiomeCompat[]))/25, 2)</f>
        <v>-0.56000000000000005</v>
      </c>
      <c r="G15" s="1" cm="1">
        <f t="array" ref="G15">ROUND(-_xlfn.XLOOKUP($C15,Biome[[Name]:[Name]],_xlfn.XLOOKUP(G$3,BiomeCompat[#Headers],BiomeCompat[]))/25, 2)</f>
        <v>-0.54</v>
      </c>
      <c r="H15" s="1" cm="1">
        <f t="array" ref="H15">ROUND(-_xlfn.XLOOKUP($C15,Biome[[Name]:[Name]],_xlfn.XLOOKUP(H$3,BiomeCompat[#Headers],BiomeCompat[]))/25, 2)</f>
        <v>-0.04</v>
      </c>
      <c r="I15" s="1" cm="1">
        <f t="array" ref="I15">ROUND(-_xlfn.XLOOKUP($C15,Biome[[Name]:[Name]],_xlfn.XLOOKUP(I$3,BiomeCompat[#Headers],BiomeCompat[]))/25, 2)</f>
        <v>-0.04</v>
      </c>
      <c r="J15" s="1" cm="1">
        <f t="array" ref="J15">ROUND(-_xlfn.XLOOKUP($C15,Biome[[Name]:[Name]],_xlfn.XLOOKUP(J$3,BiomeCompat[#Headers],BiomeCompat[]))/25, 2)</f>
        <v>-0.08</v>
      </c>
      <c r="K15" s="1" cm="1">
        <f t="array" ref="K15">ROUND(-_xlfn.XLOOKUP($C15,Biome[[Name]:[Name]],_xlfn.XLOOKUP(K$3,BiomeCompat[#Headers],BiomeCompat[]))/25, 2)</f>
        <v>-0.1</v>
      </c>
      <c r="L15" s="1" cm="1">
        <f t="array" ref="L15">ROUND(-_xlfn.XLOOKUP($C15,Biome[[Name]:[Name]],_xlfn.XLOOKUP(L$3,BiomeCompat[#Headers],BiomeCompat[]))/25, 2)</f>
        <v>0</v>
      </c>
      <c r="M15" s="1" cm="1">
        <f t="array" ref="M15">ROUND(-_xlfn.XLOOKUP($C15,Biome[[Name]:[Name]],_xlfn.XLOOKUP(M$3,BiomeCompat[#Headers],BiomeCompat[]))/25, 2)</f>
        <v>-0.22</v>
      </c>
      <c r="N15" s="1" cm="1">
        <f t="array" ref="N15">ROUND(-_xlfn.XLOOKUP($C15,Biome[[Name]:[Name]],_xlfn.XLOOKUP(N$3,BiomeCompat[#Headers],BiomeCompat[]))/25, 2)</f>
        <v>-0.26</v>
      </c>
      <c r="O15" s="1" cm="1">
        <f t="array" ref="O15">ROUND(-_xlfn.XLOOKUP($C15,Biome[[Name]:[Name]],_xlfn.XLOOKUP(O$3,BiomeCompat[#Headers],BiomeCompat[]))/25, 2)</f>
        <v>-0.1</v>
      </c>
      <c r="P15" s="1" cm="1">
        <f t="array" ref="P15">ROUND(-_xlfn.XLOOKUP($C15,Biome[[Name]:[Name]],_xlfn.XLOOKUP(P$3,BiomeCompat[#Headers],BiomeCompat[]))/25, 2)</f>
        <v>-0.16</v>
      </c>
      <c r="Q15" s="1" cm="1">
        <f t="array" ref="Q15">ROUND(-_xlfn.XLOOKUP($C15,Biome[[Name]:[Name]],_xlfn.XLOOKUP(Q$3,BiomeCompat[#Headers],BiomeCompat[]))/25, 2)</f>
        <v>-0.12</v>
      </c>
      <c r="R15" s="1" cm="1">
        <f t="array" ref="R15">ROUND(-_xlfn.XLOOKUP($C15,Biome[[Name]:[Name]],_xlfn.XLOOKUP(R$3,BiomeCompat[#Headers],BiomeCompat[]))/25, 2)</f>
        <v>-0.16</v>
      </c>
      <c r="S15" s="1" cm="1">
        <f t="array" ref="S15">ROUND(-_xlfn.XLOOKUP($C15,Biome[[Name]:[Name]],_xlfn.XLOOKUP(S$3,BiomeCompat[#Headers],BiomeCompat[]))/25, 2)</f>
        <v>-0.26</v>
      </c>
      <c r="T15" s="1" cm="1">
        <f t="array" ref="T15">ROUND(-_xlfn.XLOOKUP($C15,Biome[[Name]:[Name]],_xlfn.XLOOKUP(T$3,BiomeCompat[#Headers],BiomeCompat[]))/25, 2)</f>
        <v>-0.24</v>
      </c>
      <c r="U15" s="1" cm="1">
        <f t="array" ref="U15">ROUND(-_xlfn.XLOOKUP($C15,Biome[[Name]:[Name]],_xlfn.XLOOKUP(U$3,BiomeCompat[#Headers],BiomeCompat[]))/25, 2)</f>
        <v>-1.62</v>
      </c>
      <c r="V15" s="1" cm="1">
        <f t="array" ref="V15">ROUND(-_xlfn.XLOOKUP($C15,Biome[[Name]:[Name]],_xlfn.XLOOKUP(V$3,BiomeCompat[#Headers],BiomeCompat[]))/25, 2)</f>
        <v>-1.64</v>
      </c>
      <c r="W15" s="1" cm="1">
        <f t="array" ref="W15">ROUND(-_xlfn.XLOOKUP($C15,Biome[[Name]:[Name]],_xlfn.XLOOKUP(W$3,BiomeCompat[#Headers],BiomeCompat[]))/25, 2)</f>
        <v>-1.64</v>
      </c>
    </row>
    <row r="16" spans="1:23" x14ac:dyDescent="0.3">
      <c r="A16" s="1">
        <v>11</v>
      </c>
      <c r="B16" s="1" t="s">
        <v>16</v>
      </c>
      <c r="C16" s="1" t="s">
        <v>79</v>
      </c>
      <c r="D16" s="1">
        <f>LOOKUP(C16, Sheet2!F$3:F$21, Sheet2!E$3:E$21)</f>
        <v>19</v>
      </c>
      <c r="E16" s="1" cm="1">
        <f t="array" ref="E16">ROUND(-_xlfn.XLOOKUP($C16,Biome[[Name]:[Name]],_xlfn.XLOOKUP(E$3,BiomeCompat[#Headers],BiomeCompat[]))/25, 2)</f>
        <v>-0.52</v>
      </c>
      <c r="F16" s="1" cm="1">
        <f t="array" ref="F16">ROUND(-_xlfn.XLOOKUP($C16,Biome[[Name]:[Name]],_xlfn.XLOOKUP(F$3,BiomeCompat[#Headers],BiomeCompat[]))/25, 2)</f>
        <v>-0.52</v>
      </c>
      <c r="G16" s="1" cm="1">
        <f t="array" ref="G16">ROUND(-_xlfn.XLOOKUP($C16,Biome[[Name]:[Name]],_xlfn.XLOOKUP(G$3,BiomeCompat[#Headers],BiomeCompat[]))/25, 2)</f>
        <v>-0.54</v>
      </c>
      <c r="H16" s="1" cm="1">
        <f t="array" ref="H16">ROUND(-_xlfn.XLOOKUP($C16,Biome[[Name]:[Name]],_xlfn.XLOOKUP(H$3,BiomeCompat[#Headers],BiomeCompat[]))/25, 2)</f>
        <v>0</v>
      </c>
      <c r="I16" s="1" cm="1">
        <f t="array" ref="I16">ROUND(-_xlfn.XLOOKUP($C16,Biome[[Name]:[Name]],_xlfn.XLOOKUP(I$3,BiomeCompat[#Headers],BiomeCompat[]))/25, 2)</f>
        <v>0</v>
      </c>
      <c r="J16" s="1" cm="1">
        <f t="array" ref="J16">ROUND(-_xlfn.XLOOKUP($C16,Biome[[Name]:[Name]],_xlfn.XLOOKUP(J$3,BiomeCompat[#Headers],BiomeCompat[]))/25, 2)</f>
        <v>-0.12</v>
      </c>
      <c r="K16" s="1" cm="1">
        <f t="array" ref="K16">ROUND(-_xlfn.XLOOKUP($C16,Biome[[Name]:[Name]],_xlfn.XLOOKUP(K$3,BiomeCompat[#Headers],BiomeCompat[]))/25, 2)</f>
        <v>-0.14000000000000001</v>
      </c>
      <c r="L16" s="1" cm="1">
        <f t="array" ref="L16">ROUND(-_xlfn.XLOOKUP($C16,Biome[[Name]:[Name]],_xlfn.XLOOKUP(L$3,BiomeCompat[#Headers],BiomeCompat[]))/25, 2)</f>
        <v>-0.04</v>
      </c>
      <c r="M16" s="1" cm="1">
        <f t="array" ref="M16">ROUND(-_xlfn.XLOOKUP($C16,Biome[[Name]:[Name]],_xlfn.XLOOKUP(M$3,BiomeCompat[#Headers],BiomeCompat[]))/25, 2)</f>
        <v>-0.26</v>
      </c>
      <c r="N16" s="1" cm="1">
        <f t="array" ref="N16">ROUND(-_xlfn.XLOOKUP($C16,Biome[[Name]:[Name]],_xlfn.XLOOKUP(N$3,BiomeCompat[#Headers],BiomeCompat[]))/25, 2)</f>
        <v>-0.3</v>
      </c>
      <c r="O16" s="1" cm="1">
        <f t="array" ref="O16">ROUND(-_xlfn.XLOOKUP($C16,Biome[[Name]:[Name]],_xlfn.XLOOKUP(O$3,BiomeCompat[#Headers],BiomeCompat[]))/25, 2)</f>
        <v>-0.14000000000000001</v>
      </c>
      <c r="P16" s="1" cm="1">
        <f t="array" ref="P16">ROUND(-_xlfn.XLOOKUP($C16,Biome[[Name]:[Name]],_xlfn.XLOOKUP(P$3,BiomeCompat[#Headers],BiomeCompat[]))/25, 2)</f>
        <v>-0.2</v>
      </c>
      <c r="Q16" s="1" cm="1">
        <f t="array" ref="Q16">ROUND(-_xlfn.XLOOKUP($C16,Biome[[Name]:[Name]],_xlfn.XLOOKUP(Q$3,BiomeCompat[#Headers],BiomeCompat[]))/25, 2)</f>
        <v>-0.16</v>
      </c>
      <c r="R16" s="1" cm="1">
        <f t="array" ref="R16">ROUND(-_xlfn.XLOOKUP($C16,Biome[[Name]:[Name]],_xlfn.XLOOKUP(R$3,BiomeCompat[#Headers],BiomeCompat[]))/25, 2)</f>
        <v>-0.2</v>
      </c>
      <c r="S16" s="1" cm="1">
        <f t="array" ref="S16">ROUND(-_xlfn.XLOOKUP($C16,Biome[[Name]:[Name]],_xlfn.XLOOKUP(S$3,BiomeCompat[#Headers],BiomeCompat[]))/25, 2)</f>
        <v>-0.3</v>
      </c>
      <c r="T16" s="1" cm="1">
        <f t="array" ref="T16">ROUND(-_xlfn.XLOOKUP($C16,Biome[[Name]:[Name]],_xlfn.XLOOKUP(T$3,BiomeCompat[#Headers],BiomeCompat[]))/25, 2)</f>
        <v>-0.24</v>
      </c>
      <c r="U16" s="1" cm="1">
        <f t="array" ref="U16">ROUND(-_xlfn.XLOOKUP($C16,Biome[[Name]:[Name]],_xlfn.XLOOKUP(U$3,BiomeCompat[#Headers],BiomeCompat[]))/25, 2)</f>
        <v>-1.62</v>
      </c>
      <c r="V16" s="1" cm="1">
        <f t="array" ref="V16">ROUND(-_xlfn.XLOOKUP($C16,Biome[[Name]:[Name]],_xlfn.XLOOKUP(V$3,BiomeCompat[#Headers],BiomeCompat[]))/25, 2)</f>
        <v>-1.6</v>
      </c>
      <c r="W16" s="1" cm="1">
        <f t="array" ref="W16">ROUND(-_xlfn.XLOOKUP($C16,Biome[[Name]:[Name]],_xlfn.XLOOKUP(W$3,BiomeCompat[#Headers],BiomeCompat[]))/25, 2)</f>
        <v>-1.6</v>
      </c>
    </row>
    <row r="17" spans="1:23" x14ac:dyDescent="0.3">
      <c r="A17" s="1">
        <v>12</v>
      </c>
      <c r="B17" s="1" t="s">
        <v>17</v>
      </c>
      <c r="C17" s="1" t="s">
        <v>4</v>
      </c>
      <c r="D17" s="1">
        <f>LOOKUP(C17, Sheet2!F$3:F$21, Sheet2!E$3:E$21)</f>
        <v>18</v>
      </c>
      <c r="E17" s="1" cm="1">
        <f t="array" ref="E17">ROUND(-_xlfn.XLOOKUP($C17,Biome[[Name]:[Name]],_xlfn.XLOOKUP(E$3,BiomeCompat[#Headers],BiomeCompat[]))/25, 2)</f>
        <v>-0.66</v>
      </c>
      <c r="F17" s="1" cm="1">
        <f t="array" ref="F17">ROUND(-_xlfn.XLOOKUP($C17,Biome[[Name]:[Name]],_xlfn.XLOOKUP(F$3,BiomeCompat[#Headers],BiomeCompat[]))/25, 2)</f>
        <v>-0.66</v>
      </c>
      <c r="G17" s="1" cm="1">
        <f t="array" ref="G17">ROUND(-_xlfn.XLOOKUP($C17,Biome[[Name]:[Name]],_xlfn.XLOOKUP(G$3,BiomeCompat[#Headers],BiomeCompat[]))/25, 2)</f>
        <v>-0.6</v>
      </c>
      <c r="H17" s="1" cm="1">
        <f t="array" ref="H17">ROUND(-_xlfn.XLOOKUP($C17,Biome[[Name]:[Name]],_xlfn.XLOOKUP(H$3,BiomeCompat[#Headers],BiomeCompat[]))/25, 2)</f>
        <v>-0.14000000000000001</v>
      </c>
      <c r="I17" s="1" cm="1">
        <f t="array" ref="I17">ROUND(-_xlfn.XLOOKUP($C17,Biome[[Name]:[Name]],_xlfn.XLOOKUP(I$3,BiomeCompat[#Headers],BiomeCompat[]))/25, 2)</f>
        <v>-0.14000000000000001</v>
      </c>
      <c r="J17" s="1" cm="1">
        <f t="array" ref="J17">ROUND(-_xlfn.XLOOKUP($C17,Biome[[Name]:[Name]],_xlfn.XLOOKUP(J$3,BiomeCompat[#Headers],BiomeCompat[]))/25, 2)</f>
        <v>-0.14000000000000001</v>
      </c>
      <c r="K17" s="1" cm="1">
        <f t="array" ref="K17">ROUND(-_xlfn.XLOOKUP($C17,Biome[[Name]:[Name]],_xlfn.XLOOKUP(K$3,BiomeCompat[#Headers],BiomeCompat[]))/25, 2)</f>
        <v>-0.08</v>
      </c>
      <c r="L17" s="1" cm="1">
        <f t="array" ref="L17">ROUND(-_xlfn.XLOOKUP($C17,Biome[[Name]:[Name]],_xlfn.XLOOKUP(L$3,BiomeCompat[#Headers],BiomeCompat[]))/25, 2)</f>
        <v>-0.1</v>
      </c>
      <c r="M17" s="1" cm="1">
        <f t="array" ref="M17">ROUND(-_xlfn.XLOOKUP($C17,Biome[[Name]:[Name]],_xlfn.XLOOKUP(M$3,BiomeCompat[#Headers],BiomeCompat[]))/25, 2)</f>
        <v>-0.2</v>
      </c>
      <c r="N17" s="1" cm="1">
        <f t="array" ref="N17">ROUND(-_xlfn.XLOOKUP($C17,Biome[[Name]:[Name]],_xlfn.XLOOKUP(N$3,BiomeCompat[#Headers],BiomeCompat[]))/25, 2)</f>
        <v>-0.16</v>
      </c>
      <c r="O17" s="1" cm="1">
        <f t="array" ref="O17">ROUND(-_xlfn.XLOOKUP($C17,Biome[[Name]:[Name]],_xlfn.XLOOKUP(O$3,BiomeCompat[#Headers],BiomeCompat[]))/25, 2)</f>
        <v>0</v>
      </c>
      <c r="P17" s="1" cm="1">
        <f t="array" ref="P17">ROUND(-_xlfn.XLOOKUP($C17,Biome[[Name]:[Name]],_xlfn.XLOOKUP(P$3,BiomeCompat[#Headers],BiomeCompat[]))/25, 2)</f>
        <v>-0.06</v>
      </c>
      <c r="Q17" s="1" cm="1">
        <f t="array" ref="Q17">ROUND(-_xlfn.XLOOKUP($C17,Biome[[Name]:[Name]],_xlfn.XLOOKUP(Q$3,BiomeCompat[#Headers],BiomeCompat[]))/25, 2)</f>
        <v>-0.02</v>
      </c>
      <c r="R17" s="1" cm="1">
        <f t="array" ref="R17">ROUND(-_xlfn.XLOOKUP($C17,Biome[[Name]:[Name]],_xlfn.XLOOKUP(R$3,BiomeCompat[#Headers],BiomeCompat[]))/25, 2)</f>
        <v>-0.1</v>
      </c>
      <c r="S17" s="1" cm="1">
        <f t="array" ref="S17">ROUND(-_xlfn.XLOOKUP($C17,Biome[[Name]:[Name]],_xlfn.XLOOKUP(S$3,BiomeCompat[#Headers],BiomeCompat[]))/25, 2)</f>
        <v>-0.16</v>
      </c>
      <c r="T17" s="1" cm="1">
        <f t="array" ref="T17">ROUND(-_xlfn.XLOOKUP($C17,Biome[[Name]:[Name]],_xlfn.XLOOKUP(T$3,BiomeCompat[#Headers],BiomeCompat[]))/25, 2)</f>
        <v>-0.18</v>
      </c>
      <c r="U17" s="1" cm="1">
        <f t="array" ref="U17">ROUND(-_xlfn.XLOOKUP($C17,Biome[[Name]:[Name]],_xlfn.XLOOKUP(U$3,BiomeCompat[#Headers],BiomeCompat[]))/25, 2)</f>
        <v>-1.56</v>
      </c>
      <c r="V17" s="1" cm="1">
        <f t="array" ref="V17">ROUND(-_xlfn.XLOOKUP($C17,Biome[[Name]:[Name]],_xlfn.XLOOKUP(V$3,BiomeCompat[#Headers],BiomeCompat[]))/25, 2)</f>
        <v>-1.58</v>
      </c>
      <c r="W17" s="1" cm="1">
        <f t="array" ref="W17">ROUND(-_xlfn.XLOOKUP($C17,Biome[[Name]:[Name]],_xlfn.XLOOKUP(W$3,BiomeCompat[#Headers],BiomeCompat[]))/25, 2)</f>
        <v>-1.58</v>
      </c>
    </row>
    <row r="18" spans="1:23" x14ac:dyDescent="0.3">
      <c r="A18" s="1">
        <v>13</v>
      </c>
      <c r="B18" s="1" t="s">
        <v>18</v>
      </c>
      <c r="C18" s="1" t="s">
        <v>80</v>
      </c>
      <c r="D18" s="1">
        <f>LOOKUP(C18, Sheet2!F$3:F$21, Sheet2!E$3:E$21)</f>
        <v>17</v>
      </c>
      <c r="E18" s="1" cm="1">
        <f t="array" ref="E18">ROUND(-_xlfn.XLOOKUP($C18,Biome[[Name]:[Name]],_xlfn.XLOOKUP(E$3,BiomeCompat[#Headers],BiomeCompat[]))/25, 2)</f>
        <v>-0.68</v>
      </c>
      <c r="F18" s="1" cm="1">
        <f t="array" ref="F18">ROUND(-_xlfn.XLOOKUP($C18,Biome[[Name]:[Name]],_xlfn.XLOOKUP(F$3,BiomeCompat[#Headers],BiomeCompat[]))/25, 2)</f>
        <v>-0.68</v>
      </c>
      <c r="G18" s="1" cm="1">
        <f t="array" ref="G18">ROUND(-_xlfn.XLOOKUP($C18,Biome[[Name]:[Name]],_xlfn.XLOOKUP(G$3,BiomeCompat[#Headers],BiomeCompat[]))/25, 2)</f>
        <v>-0.62</v>
      </c>
      <c r="H18" s="1" cm="1">
        <f t="array" ref="H18">ROUND(-_xlfn.XLOOKUP($C18,Biome[[Name]:[Name]],_xlfn.XLOOKUP(H$3,BiomeCompat[#Headers],BiomeCompat[]))/25, 2)</f>
        <v>-0.16</v>
      </c>
      <c r="I18" s="1" cm="1">
        <f t="array" ref="I18">ROUND(-_xlfn.XLOOKUP($C18,Biome[[Name]:[Name]],_xlfn.XLOOKUP(I$3,BiomeCompat[#Headers],BiomeCompat[]))/25, 2)</f>
        <v>-0.16</v>
      </c>
      <c r="J18" s="1" cm="1">
        <f t="array" ref="J18">ROUND(-_xlfn.XLOOKUP($C18,Biome[[Name]:[Name]],_xlfn.XLOOKUP(J$3,BiomeCompat[#Headers],BiomeCompat[]))/25, 2)</f>
        <v>-0.12</v>
      </c>
      <c r="K18" s="1" cm="1">
        <f t="array" ref="K18">ROUND(-_xlfn.XLOOKUP($C18,Biome[[Name]:[Name]],_xlfn.XLOOKUP(K$3,BiomeCompat[#Headers],BiomeCompat[]))/25, 2)</f>
        <v>-0.06</v>
      </c>
      <c r="L18" s="1" cm="1">
        <f t="array" ref="L18">ROUND(-_xlfn.XLOOKUP($C18,Biome[[Name]:[Name]],_xlfn.XLOOKUP(L$3,BiomeCompat[#Headers],BiomeCompat[]))/25, 2)</f>
        <v>-0.12</v>
      </c>
      <c r="M18" s="1" cm="1">
        <f t="array" ref="M18">ROUND(-_xlfn.XLOOKUP($C18,Biome[[Name]:[Name]],_xlfn.XLOOKUP(M$3,BiomeCompat[#Headers],BiomeCompat[]))/25, 2)</f>
        <v>-0.18</v>
      </c>
      <c r="N18" s="1" cm="1">
        <f t="array" ref="N18">ROUND(-_xlfn.XLOOKUP($C18,Biome[[Name]:[Name]],_xlfn.XLOOKUP(N$3,BiomeCompat[#Headers],BiomeCompat[]))/25, 2)</f>
        <v>-0.14000000000000001</v>
      </c>
      <c r="O18" s="1" cm="1">
        <f t="array" ref="O18">ROUND(-_xlfn.XLOOKUP($C18,Biome[[Name]:[Name]],_xlfn.XLOOKUP(O$3,BiomeCompat[#Headers],BiomeCompat[]))/25, 2)</f>
        <v>-0.02</v>
      </c>
      <c r="P18" s="1" cm="1">
        <f t="array" ref="P18">ROUND(-_xlfn.XLOOKUP($C18,Biome[[Name]:[Name]],_xlfn.XLOOKUP(P$3,BiomeCompat[#Headers],BiomeCompat[]))/25, 2)</f>
        <v>-0.04</v>
      </c>
      <c r="Q18" s="1" cm="1">
        <f t="array" ref="Q18">ROUND(-_xlfn.XLOOKUP($C18,Biome[[Name]:[Name]],_xlfn.XLOOKUP(Q$3,BiomeCompat[#Headers],BiomeCompat[]))/25, 2)</f>
        <v>0</v>
      </c>
      <c r="R18" s="1" cm="1">
        <f t="array" ref="R18">ROUND(-_xlfn.XLOOKUP($C18,Biome[[Name]:[Name]],_xlfn.XLOOKUP(R$3,BiomeCompat[#Headers],BiomeCompat[]))/25, 2)</f>
        <v>-0.12</v>
      </c>
      <c r="S18" s="1" cm="1">
        <f t="array" ref="S18">ROUND(-_xlfn.XLOOKUP($C18,Biome[[Name]:[Name]],_xlfn.XLOOKUP(S$3,BiomeCompat[#Headers],BiomeCompat[]))/25, 2)</f>
        <v>-0.14000000000000001</v>
      </c>
      <c r="T18" s="1" cm="1">
        <f t="array" ref="T18">ROUND(-_xlfn.XLOOKUP($C18,Biome[[Name]:[Name]],_xlfn.XLOOKUP(T$3,BiomeCompat[#Headers],BiomeCompat[]))/25, 2)</f>
        <v>-0.16</v>
      </c>
      <c r="U18" s="1" cm="1">
        <f t="array" ref="U18">ROUND(-_xlfn.XLOOKUP($C18,Biome[[Name]:[Name]],_xlfn.XLOOKUP(U$3,BiomeCompat[#Headers],BiomeCompat[]))/25, 2)</f>
        <v>-1.54</v>
      </c>
      <c r="V18" s="1" cm="1">
        <f t="array" ref="V18">ROUND(-_xlfn.XLOOKUP($C18,Biome[[Name]:[Name]],_xlfn.XLOOKUP(V$3,BiomeCompat[#Headers],BiomeCompat[]))/25, 2)</f>
        <v>-1.6</v>
      </c>
      <c r="W18" s="1" cm="1">
        <f t="array" ref="W18">ROUND(-_xlfn.XLOOKUP($C18,Biome[[Name]:[Name]],_xlfn.XLOOKUP(W$3,BiomeCompat[#Headers],BiomeCompat[]))/25, 2)</f>
        <v>-1.6</v>
      </c>
    </row>
    <row r="19" spans="1:23" x14ac:dyDescent="0.3">
      <c r="A19" s="1">
        <v>14</v>
      </c>
      <c r="B19" s="1" t="s">
        <v>19</v>
      </c>
      <c r="C19" s="1" t="s">
        <v>28</v>
      </c>
      <c r="D19" s="1">
        <f>LOOKUP(C19, Sheet2!F$3:F$21, Sheet2!E$3:E$21)</f>
        <v>21</v>
      </c>
      <c r="E19" s="1" cm="1">
        <f t="array" ref="E19">ROUND(-_xlfn.XLOOKUP($C19,Biome[[Name]:[Name]],_xlfn.XLOOKUP(E$3,BiomeCompat[#Headers],BiomeCompat[]))/25, 2)</f>
        <v>-0.72</v>
      </c>
      <c r="F19" s="1" cm="1">
        <f t="array" ref="F19">ROUND(-_xlfn.XLOOKUP($C19,Biome[[Name]:[Name]],_xlfn.XLOOKUP(F$3,BiomeCompat[#Headers],BiomeCompat[]))/25, 2)</f>
        <v>-0.72</v>
      </c>
      <c r="G19" s="1" cm="1">
        <f t="array" ref="G19">ROUND(-_xlfn.XLOOKUP($C19,Biome[[Name]:[Name]],_xlfn.XLOOKUP(G$3,BiomeCompat[#Headers],BiomeCompat[]))/25, 2)</f>
        <v>-0.7</v>
      </c>
      <c r="H19" s="1" cm="1">
        <f t="array" ref="H19">ROUND(-_xlfn.XLOOKUP($C19,Biome[[Name]:[Name]],_xlfn.XLOOKUP(H$3,BiomeCompat[#Headers],BiomeCompat[]))/25, 2)</f>
        <v>-0.2</v>
      </c>
      <c r="I19" s="1" cm="1">
        <f t="array" ref="I19">ROUND(-_xlfn.XLOOKUP($C19,Biome[[Name]:[Name]],_xlfn.XLOOKUP(I$3,BiomeCompat[#Headers],BiomeCompat[]))/25, 2)</f>
        <v>-0.2</v>
      </c>
      <c r="J19" s="1" cm="1">
        <f t="array" ref="J19">ROUND(-_xlfn.XLOOKUP($C19,Biome[[Name]:[Name]],_xlfn.XLOOKUP(J$3,BiomeCompat[#Headers],BiomeCompat[]))/25, 2)</f>
        <v>-0.24</v>
      </c>
      <c r="K19" s="1" cm="1">
        <f t="array" ref="K19">ROUND(-_xlfn.XLOOKUP($C19,Biome[[Name]:[Name]],_xlfn.XLOOKUP(K$3,BiomeCompat[#Headers],BiomeCompat[]))/25, 2)</f>
        <v>-0.18</v>
      </c>
      <c r="L19" s="1" cm="1">
        <f t="array" ref="L19">ROUND(-_xlfn.XLOOKUP($C19,Biome[[Name]:[Name]],_xlfn.XLOOKUP(L$3,BiomeCompat[#Headers],BiomeCompat[]))/25, 2)</f>
        <v>-0.16</v>
      </c>
      <c r="M19" s="1" cm="1">
        <f t="array" ref="M19">ROUND(-_xlfn.XLOOKUP($C19,Biome[[Name]:[Name]],_xlfn.XLOOKUP(M$3,BiomeCompat[#Headers],BiomeCompat[]))/25, 2)</f>
        <v>-0.3</v>
      </c>
      <c r="N19" s="1" cm="1">
        <f t="array" ref="N19">ROUND(-_xlfn.XLOOKUP($C19,Biome[[Name]:[Name]],_xlfn.XLOOKUP(N$3,BiomeCompat[#Headers],BiomeCompat[]))/25, 2)</f>
        <v>-0.26</v>
      </c>
      <c r="O19" s="1" cm="1">
        <f t="array" ref="O19">ROUND(-_xlfn.XLOOKUP($C19,Biome[[Name]:[Name]],_xlfn.XLOOKUP(O$3,BiomeCompat[#Headers],BiomeCompat[]))/25, 2)</f>
        <v>-0.1</v>
      </c>
      <c r="P19" s="1" cm="1">
        <f t="array" ref="P19">ROUND(-_xlfn.XLOOKUP($C19,Biome[[Name]:[Name]],_xlfn.XLOOKUP(P$3,BiomeCompat[#Headers],BiomeCompat[]))/25, 2)</f>
        <v>-0.16</v>
      </c>
      <c r="Q19" s="1" cm="1">
        <f t="array" ref="Q19">ROUND(-_xlfn.XLOOKUP($C19,Biome[[Name]:[Name]],_xlfn.XLOOKUP(Q$3,BiomeCompat[#Headers],BiomeCompat[]))/25, 2)</f>
        <v>-0.12</v>
      </c>
      <c r="R19" s="1" cm="1">
        <f t="array" ref="R19">ROUND(-_xlfn.XLOOKUP($C19,Biome[[Name]:[Name]],_xlfn.XLOOKUP(R$3,BiomeCompat[#Headers],BiomeCompat[]))/25, 2)</f>
        <v>0</v>
      </c>
      <c r="S19" s="1" cm="1">
        <f t="array" ref="S19">ROUND(-_xlfn.XLOOKUP($C19,Biome[[Name]:[Name]],_xlfn.XLOOKUP(S$3,BiomeCompat[#Headers],BiomeCompat[]))/25, 2)</f>
        <v>-0.1</v>
      </c>
      <c r="T19" s="1" cm="1">
        <f t="array" ref="T19">ROUND(-_xlfn.XLOOKUP($C19,Biome[[Name]:[Name]],_xlfn.XLOOKUP(T$3,BiomeCompat[#Headers],BiomeCompat[]))/25, 2)</f>
        <v>-0.08</v>
      </c>
      <c r="U19" s="1" cm="1">
        <f t="array" ref="U19">ROUND(-_xlfn.XLOOKUP($C19,Biome[[Name]:[Name]],_xlfn.XLOOKUP(U$3,BiomeCompat[#Headers],BiomeCompat[]))/25, 2)</f>
        <v>-1.46</v>
      </c>
      <c r="V19" s="1" cm="1">
        <f t="array" ref="V19">ROUND(-_xlfn.XLOOKUP($C19,Biome[[Name]:[Name]],_xlfn.XLOOKUP(V$3,BiomeCompat[#Headers],BiomeCompat[]))/25, 2)</f>
        <v>-1.48</v>
      </c>
      <c r="W19" s="1" cm="1">
        <f t="array" ref="W19">ROUND(-_xlfn.XLOOKUP($C19,Biome[[Name]:[Name]],_xlfn.XLOOKUP(W$3,BiomeCompat[#Headers],BiomeCompat[]))/25, 2)</f>
        <v>-1.48</v>
      </c>
    </row>
    <row r="20" spans="1:23" x14ac:dyDescent="0.3">
      <c r="A20" s="1">
        <v>15</v>
      </c>
      <c r="B20" s="1" t="s">
        <v>20</v>
      </c>
      <c r="C20" s="1" t="s">
        <v>81</v>
      </c>
      <c r="D20" s="1">
        <f>LOOKUP(C20, Sheet2!F$3:F$21, Sheet2!E$3:E$21)</f>
        <v>9</v>
      </c>
      <c r="E20" s="1" cm="1">
        <f t="array" ref="E20">ROUND(-_xlfn.XLOOKUP($C20,Biome[[Name]:[Name]],_xlfn.XLOOKUP(E$3,BiomeCompat[#Headers],BiomeCompat[]))/25, 2)</f>
        <v>-0.78</v>
      </c>
      <c r="F20" s="1" cm="1">
        <f t="array" ref="F20">ROUND(-_xlfn.XLOOKUP($C20,Biome[[Name]:[Name]],_xlfn.XLOOKUP(F$3,BiomeCompat[#Headers],BiomeCompat[]))/25, 2)</f>
        <v>-0.78</v>
      </c>
      <c r="G20" s="1" cm="1">
        <f t="array" ref="G20">ROUND(-_xlfn.XLOOKUP($C20,Biome[[Name]:[Name]],_xlfn.XLOOKUP(G$3,BiomeCompat[#Headers],BiomeCompat[]))/25, 2)</f>
        <v>-0.72</v>
      </c>
      <c r="H20" s="1" cm="1">
        <f t="array" ref="H20">ROUND(-_xlfn.XLOOKUP($C20,Biome[[Name]:[Name]],_xlfn.XLOOKUP(H$3,BiomeCompat[#Headers],BiomeCompat[]))/25, 2)</f>
        <v>-0.26</v>
      </c>
      <c r="I20" s="1" cm="1">
        <f t="array" ref="I20">ROUND(-_xlfn.XLOOKUP($C20,Biome[[Name]:[Name]],_xlfn.XLOOKUP(I$3,BiomeCompat[#Headers],BiomeCompat[]))/25, 2)</f>
        <v>-0.26</v>
      </c>
      <c r="J20" s="1" cm="1">
        <f t="array" ref="J20">ROUND(-_xlfn.XLOOKUP($C20,Biome[[Name]:[Name]],_xlfn.XLOOKUP(J$3,BiomeCompat[#Headers],BiomeCompat[]))/25, 2)</f>
        <v>-0.14000000000000001</v>
      </c>
      <c r="K20" s="1" cm="1">
        <f t="array" ref="K20">ROUND(-_xlfn.XLOOKUP($C20,Biome[[Name]:[Name]],_xlfn.XLOOKUP(K$3,BiomeCompat[#Headers],BiomeCompat[]))/25, 2)</f>
        <v>-0.12</v>
      </c>
      <c r="L20" s="1" cm="1">
        <f t="array" ref="L20">ROUND(-_xlfn.XLOOKUP($C20,Biome[[Name]:[Name]],_xlfn.XLOOKUP(L$3,BiomeCompat[#Headers],BiomeCompat[]))/25, 2)</f>
        <v>-0.22</v>
      </c>
      <c r="M20" s="1" cm="1">
        <f t="array" ref="M20">ROUND(-_xlfn.XLOOKUP($C20,Biome[[Name]:[Name]],_xlfn.XLOOKUP(M$3,BiomeCompat[#Headers],BiomeCompat[]))/25, 2)</f>
        <v>0</v>
      </c>
      <c r="N20" s="1" cm="1">
        <f t="array" ref="N20">ROUND(-_xlfn.XLOOKUP($C20,Biome[[Name]:[Name]],_xlfn.XLOOKUP(N$3,BiomeCompat[#Headers],BiomeCompat[]))/25, 2)</f>
        <v>-0.04</v>
      </c>
      <c r="O20" s="1" cm="1">
        <f t="array" ref="O20">ROUND(-_xlfn.XLOOKUP($C20,Biome[[Name]:[Name]],_xlfn.XLOOKUP(O$3,BiomeCompat[#Headers],BiomeCompat[]))/25, 2)</f>
        <v>-0.2</v>
      </c>
      <c r="P20" s="1" cm="1">
        <f t="array" ref="P20">ROUND(-_xlfn.XLOOKUP($C20,Biome[[Name]:[Name]],_xlfn.XLOOKUP(P$3,BiomeCompat[#Headers],BiomeCompat[]))/25, 2)</f>
        <v>-0.14000000000000001</v>
      </c>
      <c r="Q20" s="1" cm="1">
        <f t="array" ref="Q20">ROUND(-_xlfn.XLOOKUP($C20,Biome[[Name]:[Name]],_xlfn.XLOOKUP(Q$3,BiomeCompat[#Headers],BiomeCompat[]))/25, 2)</f>
        <v>-0.18</v>
      </c>
      <c r="R20" s="1" cm="1">
        <f t="array" ref="R20">ROUND(-_xlfn.XLOOKUP($C20,Biome[[Name]:[Name]],_xlfn.XLOOKUP(R$3,BiomeCompat[#Headers],BiomeCompat[]))/25, 2)</f>
        <v>-0.3</v>
      </c>
      <c r="S20" s="1" cm="1">
        <f t="array" ref="S20">ROUND(-_xlfn.XLOOKUP($C20,Biome[[Name]:[Name]],_xlfn.XLOOKUP(S$3,BiomeCompat[#Headers],BiomeCompat[]))/25, 2)</f>
        <v>-0.28000000000000003</v>
      </c>
      <c r="T20" s="1" cm="1">
        <f t="array" ref="T20">ROUND(-_xlfn.XLOOKUP($C20,Biome[[Name]:[Name]],_xlfn.XLOOKUP(T$3,BiomeCompat[#Headers],BiomeCompat[]))/25, 2)</f>
        <v>-0.34</v>
      </c>
      <c r="U20" s="1" cm="1">
        <f t="array" ref="U20">ROUND(-_xlfn.XLOOKUP($C20,Biome[[Name]:[Name]],_xlfn.XLOOKUP(U$3,BiomeCompat[#Headers],BiomeCompat[]))/25, 2)</f>
        <v>-1.68</v>
      </c>
      <c r="V20" s="1" cm="1">
        <f t="array" ref="V20">ROUND(-_xlfn.XLOOKUP($C20,Biome[[Name]:[Name]],_xlfn.XLOOKUP(V$3,BiomeCompat[#Headers],BiomeCompat[]))/25, 2)</f>
        <v>-1.78</v>
      </c>
      <c r="W20" s="1" cm="1">
        <f t="array" ref="W20">ROUND(-_xlfn.XLOOKUP($C20,Biome[[Name]:[Name]],_xlfn.XLOOKUP(W$3,BiomeCompat[#Headers],BiomeCompat[]))/25, 2)</f>
        <v>-1.78</v>
      </c>
    </row>
    <row r="21" spans="1:23" x14ac:dyDescent="0.3">
      <c r="A21" s="1">
        <v>16</v>
      </c>
      <c r="B21" s="1" t="s">
        <v>21</v>
      </c>
      <c r="C21" s="1" t="s">
        <v>34</v>
      </c>
      <c r="D21" s="1">
        <f>LOOKUP(C21, Sheet2!F$3:F$21, Sheet2!E$3:E$21)</f>
        <v>20</v>
      </c>
      <c r="E21" s="1" cm="1">
        <f t="array" ref="E21">ROUND(-_xlfn.XLOOKUP($C21,Biome[[Name]:[Name]],_xlfn.XLOOKUP(E$3,BiomeCompat[#Headers],BiomeCompat[]))/25, 2)</f>
        <v>-0.56000000000000005</v>
      </c>
      <c r="F21" s="1" cm="1">
        <f t="array" ref="F21">ROUND(-_xlfn.XLOOKUP($C21,Biome[[Name]:[Name]],_xlfn.XLOOKUP(F$3,BiomeCompat[#Headers],BiomeCompat[]))/25, 2)</f>
        <v>-0.56000000000000005</v>
      </c>
      <c r="G21" s="1" cm="1">
        <f t="array" ref="G21">ROUND(-_xlfn.XLOOKUP($C21,Biome[[Name]:[Name]],_xlfn.XLOOKUP(G$3,BiomeCompat[#Headers],BiomeCompat[]))/25, 2)</f>
        <v>-0.54</v>
      </c>
      <c r="H21" s="1" cm="1">
        <f t="array" ref="H21">ROUND(-_xlfn.XLOOKUP($C21,Biome[[Name]:[Name]],_xlfn.XLOOKUP(H$3,BiomeCompat[#Headers],BiomeCompat[]))/25, 2)</f>
        <v>-0.04</v>
      </c>
      <c r="I21" s="1" cm="1">
        <f t="array" ref="I21">ROUND(-_xlfn.XLOOKUP($C21,Biome[[Name]:[Name]],_xlfn.XLOOKUP(I$3,BiomeCompat[#Headers],BiomeCompat[]))/25, 2)</f>
        <v>-0.04</v>
      </c>
      <c r="J21" s="1" cm="1">
        <f t="array" ref="J21">ROUND(-_xlfn.XLOOKUP($C21,Biome[[Name]:[Name]],_xlfn.XLOOKUP(J$3,BiomeCompat[#Headers],BiomeCompat[]))/25, 2)</f>
        <v>-0.08</v>
      </c>
      <c r="K21" s="1" cm="1">
        <f t="array" ref="K21">ROUND(-_xlfn.XLOOKUP($C21,Biome[[Name]:[Name]],_xlfn.XLOOKUP(K$3,BiomeCompat[#Headers],BiomeCompat[]))/25, 2)</f>
        <v>-0.1</v>
      </c>
      <c r="L21" s="1" cm="1">
        <f t="array" ref="L21">ROUND(-_xlfn.XLOOKUP($C21,Biome[[Name]:[Name]],_xlfn.XLOOKUP(L$3,BiomeCompat[#Headers],BiomeCompat[]))/25, 2)</f>
        <v>0</v>
      </c>
      <c r="M21" s="1" cm="1">
        <f t="array" ref="M21">ROUND(-_xlfn.XLOOKUP($C21,Biome[[Name]:[Name]],_xlfn.XLOOKUP(M$3,BiomeCompat[#Headers],BiomeCompat[]))/25, 2)</f>
        <v>-0.22</v>
      </c>
      <c r="N21" s="1" cm="1">
        <f t="array" ref="N21">ROUND(-_xlfn.XLOOKUP($C21,Biome[[Name]:[Name]],_xlfn.XLOOKUP(N$3,BiomeCompat[#Headers],BiomeCompat[]))/25, 2)</f>
        <v>-0.26</v>
      </c>
      <c r="O21" s="1" cm="1">
        <f t="array" ref="O21">ROUND(-_xlfn.XLOOKUP($C21,Biome[[Name]:[Name]],_xlfn.XLOOKUP(O$3,BiomeCompat[#Headers],BiomeCompat[]))/25, 2)</f>
        <v>-0.1</v>
      </c>
      <c r="P21" s="1" cm="1">
        <f t="array" ref="P21">ROUND(-_xlfn.XLOOKUP($C21,Biome[[Name]:[Name]],_xlfn.XLOOKUP(P$3,BiomeCompat[#Headers],BiomeCompat[]))/25, 2)</f>
        <v>-0.16</v>
      </c>
      <c r="Q21" s="1" cm="1">
        <f t="array" ref="Q21">ROUND(-_xlfn.XLOOKUP($C21,Biome[[Name]:[Name]],_xlfn.XLOOKUP(Q$3,BiomeCompat[#Headers],BiomeCompat[]))/25, 2)</f>
        <v>-0.12</v>
      </c>
      <c r="R21" s="1" cm="1">
        <f t="array" ref="R21">ROUND(-_xlfn.XLOOKUP($C21,Biome[[Name]:[Name]],_xlfn.XLOOKUP(R$3,BiomeCompat[#Headers],BiomeCompat[]))/25, 2)</f>
        <v>-0.16</v>
      </c>
      <c r="S21" s="1" cm="1">
        <f t="array" ref="S21">ROUND(-_xlfn.XLOOKUP($C21,Biome[[Name]:[Name]],_xlfn.XLOOKUP(S$3,BiomeCompat[#Headers],BiomeCompat[]))/25, 2)</f>
        <v>-0.26</v>
      </c>
      <c r="T21" s="1" cm="1">
        <f t="array" ref="T21">ROUND(-_xlfn.XLOOKUP($C21,Biome[[Name]:[Name]],_xlfn.XLOOKUP(T$3,BiomeCompat[#Headers],BiomeCompat[]))/25, 2)</f>
        <v>-0.24</v>
      </c>
      <c r="U21" s="1" cm="1">
        <f t="array" ref="U21">ROUND(-_xlfn.XLOOKUP($C21,Biome[[Name]:[Name]],_xlfn.XLOOKUP(U$3,BiomeCompat[#Headers],BiomeCompat[]))/25, 2)</f>
        <v>-1.62</v>
      </c>
      <c r="V21" s="1" cm="1">
        <f t="array" ref="V21">ROUND(-_xlfn.XLOOKUP($C21,Biome[[Name]:[Name]],_xlfn.XLOOKUP(V$3,BiomeCompat[#Headers],BiomeCompat[]))/25, 2)</f>
        <v>-1.64</v>
      </c>
      <c r="W21" s="1" cm="1">
        <f t="array" ref="W21">ROUND(-_xlfn.XLOOKUP($C21,Biome[[Name]:[Name]],_xlfn.XLOOKUP(W$3,BiomeCompat[#Headers],BiomeCompat[]))/25, 2)</f>
        <v>-1.64</v>
      </c>
    </row>
    <row r="22" spans="1:23" x14ac:dyDescent="0.3">
      <c r="A22" s="1">
        <v>17</v>
      </c>
      <c r="B22" s="1" t="s">
        <v>22</v>
      </c>
      <c r="C22" s="1" t="s">
        <v>77</v>
      </c>
      <c r="D22" s="1">
        <f>LOOKUP(C22, Sheet2!F$3:F$21, Sheet2!E$3:E$21)</f>
        <v>12</v>
      </c>
      <c r="E22" s="1" cm="1">
        <f t="array" ref="E22">ROUND(-_xlfn.XLOOKUP($C22,Biome[[Name]:[Name]],_xlfn.XLOOKUP(E$3,BiomeCompat[#Headers],BiomeCompat[]))/25, 2)</f>
        <v>0</v>
      </c>
      <c r="F22" s="1" cm="1">
        <f t="array" ref="F22">ROUND(-_xlfn.XLOOKUP($C22,Biome[[Name]:[Name]],_xlfn.XLOOKUP(F$3,BiomeCompat[#Headers],BiomeCompat[]))/25, 2)</f>
        <v>0</v>
      </c>
      <c r="G22" s="1" cm="1">
        <f t="array" ref="G22">ROUND(-_xlfn.XLOOKUP($C22,Biome[[Name]:[Name]],_xlfn.XLOOKUP(G$3,BiomeCompat[#Headers],BiomeCompat[]))/25, 2)</f>
        <v>-0.06</v>
      </c>
      <c r="H22" s="1" cm="1">
        <f t="array" ref="H22">ROUND(-_xlfn.XLOOKUP($C22,Biome[[Name]:[Name]],_xlfn.XLOOKUP(H$3,BiomeCompat[#Headers],BiomeCompat[]))/25, 2)</f>
        <v>-0.52</v>
      </c>
      <c r="I22" s="1" cm="1">
        <f t="array" ref="I22">ROUND(-_xlfn.XLOOKUP($C22,Biome[[Name]:[Name]],_xlfn.XLOOKUP(I$3,BiomeCompat[#Headers],BiomeCompat[]))/25, 2)</f>
        <v>-0.52</v>
      </c>
      <c r="J22" s="1" cm="1">
        <f t="array" ref="J22">ROUND(-_xlfn.XLOOKUP($C22,Biome[[Name]:[Name]],_xlfn.XLOOKUP(J$3,BiomeCompat[#Headers],BiomeCompat[]))/25, 2)</f>
        <v>-0.64</v>
      </c>
      <c r="K22" s="1" cm="1">
        <f t="array" ref="K22">ROUND(-_xlfn.XLOOKUP($C22,Biome[[Name]:[Name]],_xlfn.XLOOKUP(K$3,BiomeCompat[#Headers],BiomeCompat[]))/25, 2)</f>
        <v>-0.66</v>
      </c>
      <c r="L22" s="1" cm="1">
        <f t="array" ref="L22">ROUND(-_xlfn.XLOOKUP($C22,Biome[[Name]:[Name]],_xlfn.XLOOKUP(L$3,BiomeCompat[#Headers],BiomeCompat[]))/25, 2)</f>
        <v>-0.56000000000000005</v>
      </c>
      <c r="M22" s="1" cm="1">
        <f t="array" ref="M22">ROUND(-_xlfn.XLOOKUP($C22,Biome[[Name]:[Name]],_xlfn.XLOOKUP(M$3,BiomeCompat[#Headers],BiomeCompat[]))/25, 2)</f>
        <v>-0.78</v>
      </c>
      <c r="N22" s="1" cm="1">
        <f t="array" ref="N22">ROUND(-_xlfn.XLOOKUP($C22,Biome[[Name]:[Name]],_xlfn.XLOOKUP(N$3,BiomeCompat[#Headers],BiomeCompat[]))/25, 2)</f>
        <v>-0.82</v>
      </c>
      <c r="O22" s="1" cm="1">
        <f t="array" ref="O22">ROUND(-_xlfn.XLOOKUP($C22,Biome[[Name]:[Name]],_xlfn.XLOOKUP(O$3,BiomeCompat[#Headers],BiomeCompat[]))/25, 2)</f>
        <v>-0.66</v>
      </c>
      <c r="P22" s="1" cm="1">
        <f t="array" ref="P22">ROUND(-_xlfn.XLOOKUP($C22,Biome[[Name]:[Name]],_xlfn.XLOOKUP(P$3,BiomeCompat[#Headers],BiomeCompat[]))/25, 2)</f>
        <v>-0.72</v>
      </c>
      <c r="Q22" s="1" cm="1">
        <f t="array" ref="Q22">ROUND(-_xlfn.XLOOKUP($C22,Biome[[Name]:[Name]],_xlfn.XLOOKUP(Q$3,BiomeCompat[#Headers],BiomeCompat[]))/25, 2)</f>
        <v>-0.68</v>
      </c>
      <c r="R22" s="1" cm="1">
        <f t="array" ref="R22">ROUND(-_xlfn.XLOOKUP($C22,Biome[[Name]:[Name]],_xlfn.XLOOKUP(R$3,BiomeCompat[#Headers],BiomeCompat[]))/25, 2)</f>
        <v>-0.72</v>
      </c>
      <c r="S22" s="1" cm="1">
        <f t="array" ref="S22">ROUND(-_xlfn.XLOOKUP($C22,Biome[[Name]:[Name]],_xlfn.XLOOKUP(S$3,BiomeCompat[#Headers],BiomeCompat[]))/25, 2)</f>
        <v>-0.82</v>
      </c>
      <c r="T22" s="1" cm="1">
        <f t="array" ref="T22">ROUND(-_xlfn.XLOOKUP($C22,Biome[[Name]:[Name]],_xlfn.XLOOKUP(T$3,BiomeCompat[#Headers],BiomeCompat[]))/25, 2)</f>
        <v>-0.76</v>
      </c>
      <c r="U22" s="1" cm="1">
        <f t="array" ref="U22">ROUND(-_xlfn.XLOOKUP($C22,Biome[[Name]:[Name]],_xlfn.XLOOKUP(U$3,BiomeCompat[#Headers],BiomeCompat[]))/25, 2)</f>
        <v>-1.34</v>
      </c>
      <c r="V22" s="1" cm="1">
        <f t="array" ref="V22">ROUND(-_xlfn.XLOOKUP($C22,Biome[[Name]:[Name]],_xlfn.XLOOKUP(V$3,BiomeCompat[#Headers],BiomeCompat[]))/25, 2)</f>
        <v>-1.24</v>
      </c>
      <c r="W22" s="1" cm="1">
        <f t="array" ref="W22">ROUND(-_xlfn.XLOOKUP($C22,Biome[[Name]:[Name]],_xlfn.XLOOKUP(W$3,BiomeCompat[#Headers],BiomeCompat[]))/25, 2)</f>
        <v>-1.24</v>
      </c>
    </row>
    <row r="23" spans="1:23" x14ac:dyDescent="0.3">
      <c r="A23" s="1">
        <v>18</v>
      </c>
      <c r="B23" s="1" t="s">
        <v>23</v>
      </c>
      <c r="C23" s="1" t="s">
        <v>84</v>
      </c>
      <c r="D23" s="1">
        <f>LOOKUP(C23, Sheet2!F$3:F$21, Sheet2!E$3:E$21)</f>
        <v>8</v>
      </c>
      <c r="E23" s="1" cm="1">
        <f t="array" ref="E23">ROUND(-_xlfn.XLOOKUP($C23,Biome[[Name]:[Name]],_xlfn.XLOOKUP(E$3,BiomeCompat[#Headers],BiomeCompat[]))/25, 2)</f>
        <v>-0.64</v>
      </c>
      <c r="F23" s="1" cm="1">
        <f t="array" ref="F23">ROUND(-_xlfn.XLOOKUP($C23,Biome[[Name]:[Name]],_xlfn.XLOOKUP(F$3,BiomeCompat[#Headers],BiomeCompat[]))/25, 2)</f>
        <v>-0.64</v>
      </c>
      <c r="G23" s="1" cm="1">
        <f t="array" ref="G23">ROUND(-_xlfn.XLOOKUP($C23,Biome[[Name]:[Name]],_xlfn.XLOOKUP(G$3,BiomeCompat[#Headers],BiomeCompat[]))/25, 2)</f>
        <v>-0.57999999999999996</v>
      </c>
      <c r="H23" s="1" cm="1">
        <f t="array" ref="H23">ROUND(-_xlfn.XLOOKUP($C23,Biome[[Name]:[Name]],_xlfn.XLOOKUP(H$3,BiomeCompat[#Headers],BiomeCompat[]))/25, 2)</f>
        <v>-0.12</v>
      </c>
      <c r="I23" s="1" cm="1">
        <f t="array" ref="I23">ROUND(-_xlfn.XLOOKUP($C23,Biome[[Name]:[Name]],_xlfn.XLOOKUP(I$3,BiomeCompat[#Headers],BiomeCompat[]))/25, 2)</f>
        <v>-0.12</v>
      </c>
      <c r="J23" s="1" cm="1">
        <f t="array" ref="J23">ROUND(-_xlfn.XLOOKUP($C23,Biome[[Name]:[Name]],_xlfn.XLOOKUP(J$3,BiomeCompat[#Headers],BiomeCompat[]))/25, 2)</f>
        <v>0</v>
      </c>
      <c r="K23" s="1" cm="1">
        <f t="array" ref="K23">ROUND(-_xlfn.XLOOKUP($C23,Biome[[Name]:[Name]],_xlfn.XLOOKUP(K$3,BiomeCompat[#Headers],BiomeCompat[]))/25, 2)</f>
        <v>-0.06</v>
      </c>
      <c r="L23" s="1" cm="1">
        <f t="array" ref="L23">ROUND(-_xlfn.XLOOKUP($C23,Biome[[Name]:[Name]],_xlfn.XLOOKUP(L$3,BiomeCompat[#Headers],BiomeCompat[]))/25, 2)</f>
        <v>-0.08</v>
      </c>
      <c r="M23" s="1" cm="1">
        <f t="array" ref="M23">ROUND(-_xlfn.XLOOKUP($C23,Biome[[Name]:[Name]],_xlfn.XLOOKUP(M$3,BiomeCompat[#Headers],BiomeCompat[]))/25, 2)</f>
        <v>-0.14000000000000001</v>
      </c>
      <c r="N23" s="1" cm="1">
        <f t="array" ref="N23">ROUND(-_xlfn.XLOOKUP($C23,Biome[[Name]:[Name]],_xlfn.XLOOKUP(N$3,BiomeCompat[#Headers],BiomeCompat[]))/25, 2)</f>
        <v>-0.18</v>
      </c>
      <c r="O23" s="1" cm="1">
        <f t="array" ref="O23">ROUND(-_xlfn.XLOOKUP($C23,Biome[[Name]:[Name]],_xlfn.XLOOKUP(O$3,BiomeCompat[#Headers],BiomeCompat[]))/25, 2)</f>
        <v>-0.14000000000000001</v>
      </c>
      <c r="P23" s="1" cm="1">
        <f t="array" ref="P23">ROUND(-_xlfn.XLOOKUP($C23,Biome[[Name]:[Name]],_xlfn.XLOOKUP(P$3,BiomeCompat[#Headers],BiomeCompat[]))/25, 2)</f>
        <v>-0.12</v>
      </c>
      <c r="Q23" s="1" cm="1">
        <f t="array" ref="Q23">ROUND(-_xlfn.XLOOKUP($C23,Biome[[Name]:[Name]],_xlfn.XLOOKUP(Q$3,BiomeCompat[#Headers],BiomeCompat[]))/25, 2)</f>
        <v>-0.12</v>
      </c>
      <c r="R23" s="1" cm="1">
        <f t="array" ref="R23">ROUND(-_xlfn.XLOOKUP($C23,Biome[[Name]:[Name]],_xlfn.XLOOKUP(R$3,BiomeCompat[#Headers],BiomeCompat[]))/25, 2)</f>
        <v>-0.24</v>
      </c>
      <c r="S23" s="1" cm="1">
        <f t="array" ref="S23">ROUND(-_xlfn.XLOOKUP($C23,Biome[[Name]:[Name]],_xlfn.XLOOKUP(S$3,BiomeCompat[#Headers],BiomeCompat[]))/25, 2)</f>
        <v>-0.22</v>
      </c>
      <c r="T23" s="1" cm="1">
        <f t="array" ref="T23">ROUND(-_xlfn.XLOOKUP($C23,Biome[[Name]:[Name]],_xlfn.XLOOKUP(T$3,BiomeCompat[#Headers],BiomeCompat[]))/25, 2)</f>
        <v>-0.28000000000000003</v>
      </c>
      <c r="U23" s="1" cm="1">
        <f t="array" ref="U23">ROUND(-_xlfn.XLOOKUP($C23,Biome[[Name]:[Name]],_xlfn.XLOOKUP(U$3,BiomeCompat[#Headers],BiomeCompat[]))/25, 2)</f>
        <v>-1.62</v>
      </c>
      <c r="V23" s="1" cm="1">
        <f t="array" ref="V23">ROUND(-_xlfn.XLOOKUP($C23,Biome[[Name]:[Name]],_xlfn.XLOOKUP(V$3,BiomeCompat[#Headers],BiomeCompat[]))/25, 2)</f>
        <v>-1.72</v>
      </c>
      <c r="W23" s="1" cm="1">
        <f t="array" ref="W23">ROUND(-_xlfn.XLOOKUP($C23,Biome[[Name]:[Name]],_xlfn.XLOOKUP(W$3,BiomeCompat[#Headers],BiomeCompat[]))/25, 2)</f>
        <v>-1.72</v>
      </c>
    </row>
    <row r="24" spans="1:23" x14ac:dyDescent="0.3">
      <c r="A24" s="1">
        <v>19</v>
      </c>
      <c r="B24" s="1" t="s">
        <v>24</v>
      </c>
      <c r="C24" s="1" t="s">
        <v>28</v>
      </c>
      <c r="D24" s="1">
        <f>LOOKUP(C24, Sheet2!F$3:F$21, Sheet2!E$3:E$21)</f>
        <v>21</v>
      </c>
      <c r="E24" s="1" cm="1">
        <f t="array" ref="E24">ROUND(-_xlfn.XLOOKUP($C24,Biome[[Name]:[Name]],_xlfn.XLOOKUP(E$3,BiomeCompat[#Headers],BiomeCompat[]))/25, 2)</f>
        <v>-0.72</v>
      </c>
      <c r="F24" s="1" cm="1">
        <f t="array" ref="F24">ROUND(-_xlfn.XLOOKUP($C24,Biome[[Name]:[Name]],_xlfn.XLOOKUP(F$3,BiomeCompat[#Headers],BiomeCompat[]))/25, 2)</f>
        <v>-0.72</v>
      </c>
      <c r="G24" s="1" cm="1">
        <f t="array" ref="G24">ROUND(-_xlfn.XLOOKUP($C24,Biome[[Name]:[Name]],_xlfn.XLOOKUP(G$3,BiomeCompat[#Headers],BiomeCompat[]))/25, 2)</f>
        <v>-0.7</v>
      </c>
      <c r="H24" s="1" cm="1">
        <f t="array" ref="H24">ROUND(-_xlfn.XLOOKUP($C24,Biome[[Name]:[Name]],_xlfn.XLOOKUP(H$3,BiomeCompat[#Headers],BiomeCompat[]))/25, 2)</f>
        <v>-0.2</v>
      </c>
      <c r="I24" s="1" cm="1">
        <f t="array" ref="I24">ROUND(-_xlfn.XLOOKUP($C24,Biome[[Name]:[Name]],_xlfn.XLOOKUP(I$3,BiomeCompat[#Headers],BiomeCompat[]))/25, 2)</f>
        <v>-0.2</v>
      </c>
      <c r="J24" s="1" cm="1">
        <f t="array" ref="J24">ROUND(-_xlfn.XLOOKUP($C24,Biome[[Name]:[Name]],_xlfn.XLOOKUP(J$3,BiomeCompat[#Headers],BiomeCompat[]))/25, 2)</f>
        <v>-0.24</v>
      </c>
      <c r="K24" s="1" cm="1">
        <f t="array" ref="K24">ROUND(-_xlfn.XLOOKUP($C24,Biome[[Name]:[Name]],_xlfn.XLOOKUP(K$3,BiomeCompat[#Headers],BiomeCompat[]))/25, 2)</f>
        <v>-0.18</v>
      </c>
      <c r="L24" s="1" cm="1">
        <f t="array" ref="L24">ROUND(-_xlfn.XLOOKUP($C24,Biome[[Name]:[Name]],_xlfn.XLOOKUP(L$3,BiomeCompat[#Headers],BiomeCompat[]))/25, 2)</f>
        <v>-0.16</v>
      </c>
      <c r="M24" s="1" cm="1">
        <f t="array" ref="M24">ROUND(-_xlfn.XLOOKUP($C24,Biome[[Name]:[Name]],_xlfn.XLOOKUP(M$3,BiomeCompat[#Headers],BiomeCompat[]))/25, 2)</f>
        <v>-0.3</v>
      </c>
      <c r="N24" s="1" cm="1">
        <f t="array" ref="N24">ROUND(-_xlfn.XLOOKUP($C24,Biome[[Name]:[Name]],_xlfn.XLOOKUP(N$3,BiomeCompat[#Headers],BiomeCompat[]))/25, 2)</f>
        <v>-0.26</v>
      </c>
      <c r="O24" s="1" cm="1">
        <f t="array" ref="O24">ROUND(-_xlfn.XLOOKUP($C24,Biome[[Name]:[Name]],_xlfn.XLOOKUP(O$3,BiomeCompat[#Headers],BiomeCompat[]))/25, 2)</f>
        <v>-0.1</v>
      </c>
      <c r="P24" s="1" cm="1">
        <f t="array" ref="P24">ROUND(-_xlfn.XLOOKUP($C24,Biome[[Name]:[Name]],_xlfn.XLOOKUP(P$3,BiomeCompat[#Headers],BiomeCompat[]))/25, 2)</f>
        <v>-0.16</v>
      </c>
      <c r="Q24" s="1" cm="1">
        <f t="array" ref="Q24">ROUND(-_xlfn.XLOOKUP($C24,Biome[[Name]:[Name]],_xlfn.XLOOKUP(Q$3,BiomeCompat[#Headers],BiomeCompat[]))/25, 2)</f>
        <v>-0.12</v>
      </c>
      <c r="R24" s="1" cm="1">
        <f t="array" ref="R24">ROUND(-_xlfn.XLOOKUP($C24,Biome[[Name]:[Name]],_xlfn.XLOOKUP(R$3,BiomeCompat[#Headers],BiomeCompat[]))/25, 2)</f>
        <v>0</v>
      </c>
      <c r="S24" s="1" cm="1">
        <f t="array" ref="S24">ROUND(-_xlfn.XLOOKUP($C24,Biome[[Name]:[Name]],_xlfn.XLOOKUP(S$3,BiomeCompat[#Headers],BiomeCompat[]))/25, 2)</f>
        <v>-0.1</v>
      </c>
      <c r="T24" s="1" cm="1">
        <f t="array" ref="T24">ROUND(-_xlfn.XLOOKUP($C24,Biome[[Name]:[Name]],_xlfn.XLOOKUP(T$3,BiomeCompat[#Headers],BiomeCompat[]))/25, 2)</f>
        <v>-0.08</v>
      </c>
      <c r="U24" s="1" cm="1">
        <f t="array" ref="U24">ROUND(-_xlfn.XLOOKUP($C24,Biome[[Name]:[Name]],_xlfn.XLOOKUP(U$3,BiomeCompat[#Headers],BiomeCompat[]))/25, 2)</f>
        <v>-1.46</v>
      </c>
      <c r="V24" s="1" cm="1">
        <f t="array" ref="V24">ROUND(-_xlfn.XLOOKUP($C24,Biome[[Name]:[Name]],_xlfn.XLOOKUP(V$3,BiomeCompat[#Headers],BiomeCompat[]))/25, 2)</f>
        <v>-1.48</v>
      </c>
      <c r="W24" s="1" cm="1">
        <f t="array" ref="W24">ROUND(-_xlfn.XLOOKUP($C24,Biome[[Name]:[Name]],_xlfn.XLOOKUP(W$3,BiomeCompat[#Headers],BiomeCompat[]))/25, 2)</f>
        <v>-1.48</v>
      </c>
    </row>
    <row r="28" spans="1:23" x14ac:dyDescent="0.3">
      <c r="H28" s="9"/>
    </row>
    <row r="29" spans="1:23" x14ac:dyDescent="0.3">
      <c r="H29" s="9"/>
    </row>
    <row r="30" spans="1:23" x14ac:dyDescent="0.3">
      <c r="H30" s="9"/>
    </row>
    <row r="31" spans="1:23" x14ac:dyDescent="0.3">
      <c r="H31" s="9"/>
    </row>
    <row r="32" spans="1:23" x14ac:dyDescent="0.3">
      <c r="H32" s="9"/>
    </row>
    <row r="33" spans="8:8" x14ac:dyDescent="0.3">
      <c r="H33" s="9"/>
    </row>
    <row r="34" spans="8:8" x14ac:dyDescent="0.3">
      <c r="H34" s="9"/>
    </row>
    <row r="35" spans="8:8" x14ac:dyDescent="0.3">
      <c r="H35" s="9"/>
    </row>
    <row r="36" spans="8:8" x14ac:dyDescent="0.3">
      <c r="H36" s="9"/>
    </row>
    <row r="37" spans="8:8" x14ac:dyDescent="0.3">
      <c r="H37" s="9"/>
    </row>
    <row r="38" spans="8:8" x14ac:dyDescent="0.3">
      <c r="H38" s="9"/>
    </row>
    <row r="39" spans="8:8" x14ac:dyDescent="0.3">
      <c r="H39" s="9"/>
    </row>
    <row r="40" spans="8:8" x14ac:dyDescent="0.3">
      <c r="H40" s="9"/>
    </row>
    <row r="41" spans="8:8" x14ac:dyDescent="0.3">
      <c r="H41" s="9"/>
    </row>
    <row r="42" spans="8:8" x14ac:dyDescent="0.3">
      <c r="H42" s="9"/>
    </row>
    <row r="43" spans="8:8" x14ac:dyDescent="0.3">
      <c r="H43" s="9"/>
    </row>
  </sheetData>
  <mergeCells count="6">
    <mergeCell ref="E2:G2"/>
    <mergeCell ref="H2:J2"/>
    <mergeCell ref="S2:T2"/>
    <mergeCell ref="U2:W2"/>
    <mergeCell ref="N2:Q2"/>
    <mergeCell ref="K2:M2"/>
  </mergeCells>
  <conditionalFormatting sqref="E5:W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cellWatches>
    <cellWatch r="O6"/>
  </cellWatche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1703FF-BDB7-42CA-B33F-85883E35BE8F}">
          <x14:formula1>
            <xm:f>Sheet2!$F$3:$F$21</xm:f>
          </x14:formula1>
          <xm:sqref>C5:C24 E3:Y3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DF9F6-A2BB-4AD3-AB21-EB5073030938}">
  <sheetPr codeName="Sheet2"/>
  <dimension ref="B1:AE39"/>
  <sheetViews>
    <sheetView topLeftCell="G1" zoomScaleNormal="100" workbookViewId="0">
      <selection activeCell="L3" sqref="L3"/>
    </sheetView>
  </sheetViews>
  <sheetFormatPr defaultRowHeight="14.4" x14ac:dyDescent="0.3"/>
  <cols>
    <col min="2" max="2" width="10.44140625" bestFit="1" customWidth="1"/>
    <col min="3" max="3" width="7.77734375" bestFit="1" customWidth="1"/>
    <col min="4" max="4" width="13.44140625" bestFit="1" customWidth="1"/>
    <col min="6" max="6" width="16.5546875" customWidth="1"/>
    <col min="7" max="7" width="16.33203125" bestFit="1" customWidth="1"/>
    <col min="8" max="8" width="13" bestFit="1" customWidth="1"/>
    <col min="9" max="9" width="18.5546875" bestFit="1" customWidth="1"/>
    <col min="10" max="10" width="18.5546875" customWidth="1"/>
    <col min="11" max="11" width="8.109375" customWidth="1"/>
    <col min="12" max="12" width="16.44140625" bestFit="1" customWidth="1"/>
    <col min="13" max="13" width="10" customWidth="1"/>
    <col min="14" max="14" width="17.21875" bestFit="1" customWidth="1"/>
    <col min="15" max="15" width="14.44140625" customWidth="1"/>
    <col min="16" max="16" width="14.33203125" customWidth="1"/>
    <col min="17" max="17" width="15.88671875" customWidth="1"/>
    <col min="18" max="18" width="17.109375" customWidth="1"/>
    <col min="19" max="19" width="10.109375" customWidth="1"/>
    <col min="20" max="20" width="11.77734375" customWidth="1"/>
    <col min="22" max="22" width="12.6640625" customWidth="1"/>
    <col min="24" max="24" width="13.5546875" customWidth="1"/>
    <col min="27" max="27" width="12.33203125" customWidth="1"/>
    <col min="28" max="28" width="11.44140625" customWidth="1"/>
    <col min="29" max="29" width="14.88671875" customWidth="1"/>
    <col min="30" max="30" width="15.109375" customWidth="1"/>
    <col min="31" max="31" width="13.88671875" customWidth="1"/>
  </cols>
  <sheetData>
    <row r="1" spans="2:31" x14ac:dyDescent="0.3">
      <c r="M1" s="11"/>
      <c r="N1" s="13"/>
      <c r="O1" s="11"/>
      <c r="P1" s="12"/>
      <c r="Q1" s="13"/>
      <c r="R1" s="11"/>
      <c r="S1" s="13"/>
      <c r="T1" s="11"/>
      <c r="U1" s="12"/>
      <c r="V1" s="12"/>
      <c r="W1" s="13"/>
      <c r="X1" s="11"/>
      <c r="Y1" s="12"/>
      <c r="Z1" s="13"/>
      <c r="AA1" s="11"/>
      <c r="AB1" s="12"/>
      <c r="AC1" s="13"/>
      <c r="AD1" s="11"/>
      <c r="AE1" s="13"/>
    </row>
    <row r="2" spans="2:31" x14ac:dyDescent="0.3">
      <c r="B2" t="s">
        <v>72</v>
      </c>
      <c r="C2" t="s">
        <v>73</v>
      </c>
      <c r="E2" s="3" t="s">
        <v>1</v>
      </c>
      <c r="F2" s="3" t="s">
        <v>48</v>
      </c>
      <c r="G2" s="3" t="s">
        <v>33</v>
      </c>
      <c r="H2" s="3" t="s">
        <v>52</v>
      </c>
      <c r="I2" s="3" t="s">
        <v>53</v>
      </c>
      <c r="J2" s="3" t="s">
        <v>58</v>
      </c>
      <c r="K2" s="3"/>
      <c r="L2" s="3"/>
      <c r="M2" s="10" t="s">
        <v>77</v>
      </c>
      <c r="N2" s="10" t="s">
        <v>85</v>
      </c>
      <c r="O2" s="10" t="s">
        <v>78</v>
      </c>
      <c r="P2" s="10" t="s">
        <v>79</v>
      </c>
      <c r="Q2" s="10" t="s">
        <v>84</v>
      </c>
      <c r="R2" s="10" t="s">
        <v>83</v>
      </c>
      <c r="S2" s="10" t="s">
        <v>34</v>
      </c>
      <c r="T2" s="10" t="s">
        <v>4</v>
      </c>
      <c r="U2" s="10" t="s">
        <v>80</v>
      </c>
      <c r="V2" s="10" t="s">
        <v>3</v>
      </c>
      <c r="W2" s="10" t="s">
        <v>81</v>
      </c>
      <c r="X2" s="10" t="s">
        <v>82</v>
      </c>
      <c r="Y2" s="10" t="s">
        <v>28</v>
      </c>
      <c r="Z2" s="10" t="s">
        <v>75</v>
      </c>
      <c r="AA2" s="10" t="s">
        <v>25</v>
      </c>
      <c r="AB2" s="10" t="s">
        <v>76</v>
      </c>
      <c r="AC2" s="10" t="s">
        <v>5</v>
      </c>
      <c r="AD2" s="10" t="s">
        <v>27</v>
      </c>
      <c r="AE2" s="10" t="s">
        <v>26</v>
      </c>
    </row>
    <row r="3" spans="2:31" x14ac:dyDescent="0.3">
      <c r="B3" t="s">
        <v>38</v>
      </c>
      <c r="C3">
        <v>1</v>
      </c>
      <c r="E3" s="1">
        <v>29</v>
      </c>
      <c r="F3" s="1" t="s">
        <v>5</v>
      </c>
      <c r="G3" s="1" t="s">
        <v>29</v>
      </c>
      <c r="H3" s="1" t="s">
        <v>41</v>
      </c>
      <c r="I3" s="1" t="s">
        <v>54</v>
      </c>
      <c r="J3" s="1" t="s">
        <v>59</v>
      </c>
      <c r="K3" s="1"/>
      <c r="L3" s="7" t="s">
        <v>5</v>
      </c>
      <c r="M3" s="6" cm="1">
        <f t="array" ref="M3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1.5</v>
      </c>
      <c r="N3" s="6" cm="1">
        <f t="array" ref="N3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1.5</v>
      </c>
      <c r="O3" s="6" cm="1">
        <f t="array" ref="O3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13.5</v>
      </c>
      <c r="P3" s="6" cm="1">
        <f t="array" ref="P3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13.5</v>
      </c>
      <c r="Q3" s="6" cm="1">
        <f t="array" ref="Q3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14.5</v>
      </c>
      <c r="R3" s="6" cm="1">
        <f t="array" ref="R3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15</v>
      </c>
      <c r="S3" s="6" cm="1">
        <f t="array" ref="S3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13.5</v>
      </c>
      <c r="T3" s="6" cm="1">
        <f t="array" ref="T3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15</v>
      </c>
      <c r="U3" s="6" cm="1">
        <f t="array" ref="U3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15.5</v>
      </c>
      <c r="V3" s="6" cm="1">
        <f t="array" ref="V3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16.5</v>
      </c>
      <c r="W3" s="6" cm="1">
        <f t="array" ref="W3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18</v>
      </c>
      <c r="X3" s="6" cm="1">
        <f t="array" ref="X3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19</v>
      </c>
      <c r="Y3" s="6" cm="1">
        <f t="array" ref="Y3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17.5</v>
      </c>
      <c r="Z3" s="6" cm="1">
        <f t="array" ref="Z3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19</v>
      </c>
      <c r="AA3" s="6" cm="1">
        <f t="array" ref="AA3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19.5</v>
      </c>
      <c r="AB3" s="6" cm="1">
        <f t="array" ref="AB3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34</v>
      </c>
      <c r="AC3" s="6" cm="1">
        <f t="array" ref="AC3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0</v>
      </c>
      <c r="AD3" s="6" cm="1">
        <f t="array" ref="AD3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32.5</v>
      </c>
      <c r="AE3" s="6" cm="1">
        <f t="array" ref="AE3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32.5</v>
      </c>
    </row>
    <row r="4" spans="2:31" x14ac:dyDescent="0.3">
      <c r="B4" t="s">
        <v>37</v>
      </c>
      <c r="C4">
        <v>3</v>
      </c>
      <c r="E4" s="1">
        <v>23</v>
      </c>
      <c r="F4" s="1" t="s">
        <v>82</v>
      </c>
      <c r="G4" s="1" t="s">
        <v>40</v>
      </c>
      <c r="H4" s="1" t="s">
        <v>42</v>
      </c>
      <c r="I4" s="1" t="s">
        <v>55</v>
      </c>
      <c r="J4" s="1" t="s">
        <v>60</v>
      </c>
      <c r="K4" s="1"/>
      <c r="L4" s="8" t="s">
        <v>3</v>
      </c>
      <c r="M4" s="6" cm="1">
        <f t="array" ref="M4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20.5</v>
      </c>
      <c r="N4" s="6" cm="1">
        <f t="array" ref="N4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20.5</v>
      </c>
      <c r="O4" s="6" cm="1">
        <f t="array" ref="O4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7.5</v>
      </c>
      <c r="P4" s="6" cm="1">
        <f t="array" ref="P4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7.5</v>
      </c>
      <c r="Q4" s="6" cm="1">
        <f t="array" ref="Q4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4.5</v>
      </c>
      <c r="R4" s="6" cm="1">
        <f t="array" ref="R4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</v>
      </c>
      <c r="S4" s="6" cm="1">
        <f t="array" ref="S4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6.5</v>
      </c>
      <c r="T4" s="6" cm="1">
        <f t="array" ref="T4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</v>
      </c>
      <c r="U4" s="6" cm="1">
        <f t="array" ref="U4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3.5</v>
      </c>
      <c r="V4" s="6" cm="1">
        <f t="array" ref="V4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2.5</v>
      </c>
      <c r="W4" s="6" cm="1">
        <f t="array" ref="W4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</v>
      </c>
      <c r="X4" s="6" cm="1">
        <f t="array" ref="X4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0</v>
      </c>
      <c r="Y4" s="6" cm="1">
        <f t="array" ref="Y4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6.5</v>
      </c>
      <c r="Z4" s="6" cm="1">
        <f t="array" ref="Z4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6</v>
      </c>
      <c r="AA4" s="6" cm="1">
        <f t="array" ref="AA4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7.5</v>
      </c>
      <c r="AB4" s="6" cm="1">
        <f t="array" ref="AB4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41</v>
      </c>
      <c r="AC4" s="6" cm="1">
        <f t="array" ref="AC4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</v>
      </c>
      <c r="AD4" s="6" cm="1">
        <f t="array" ref="AD4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43.5</v>
      </c>
      <c r="AE4" s="6" cm="1">
        <f t="array" ref="AE4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43.5</v>
      </c>
    </row>
    <row r="5" spans="2:31" x14ac:dyDescent="0.3">
      <c r="B5" t="s">
        <v>40</v>
      </c>
      <c r="C5">
        <v>4</v>
      </c>
      <c r="E5" s="1">
        <v>7</v>
      </c>
      <c r="F5" s="1" t="s">
        <v>3</v>
      </c>
      <c r="G5" s="1" t="s">
        <v>40</v>
      </c>
      <c r="H5" s="1" t="s">
        <v>41</v>
      </c>
      <c r="I5" s="1" t="s">
        <v>50</v>
      </c>
      <c r="J5" s="1" t="s">
        <v>60</v>
      </c>
      <c r="K5" s="1"/>
      <c r="L5" s="7" t="s">
        <v>79</v>
      </c>
      <c r="M5" s="6" cm="1">
        <f t="array" ref="M5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18</v>
      </c>
      <c r="N5" s="6" cm="1">
        <f t="array" ref="N5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18</v>
      </c>
      <c r="O5" s="6" cm="1">
        <f t="array" ref="O5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5</v>
      </c>
      <c r="P5" s="6" cm="1">
        <f t="array" ref="P5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5</v>
      </c>
      <c r="Q5" s="6" cm="1">
        <f t="array" ref="Q5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5" s="6" cm="1">
        <f t="array" ref="R5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2.5</v>
      </c>
      <c r="S5" s="6" cm="1">
        <f t="array" ref="S5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</v>
      </c>
      <c r="T5" s="6" cm="1">
        <f t="array" ref="T5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1.5</v>
      </c>
      <c r="U5" s="6" cm="1">
        <f t="array" ref="U5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</v>
      </c>
      <c r="V5" s="6" cm="1">
        <f t="array" ref="V5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0</v>
      </c>
      <c r="W5" s="6" cm="1">
        <f t="array" ref="W5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3.5</v>
      </c>
      <c r="X5" s="6" cm="1">
        <f t="array" ref="X5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2.5</v>
      </c>
      <c r="Y5" s="6" cm="1">
        <f t="array" ref="Y5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</v>
      </c>
      <c r="Z5" s="6" cm="1">
        <f t="array" ref="Z5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4.5</v>
      </c>
      <c r="AA5" s="6" cm="1">
        <f t="array" ref="AA5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5</v>
      </c>
      <c r="AB5" s="6" cm="1">
        <f t="array" ref="AB5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38.5</v>
      </c>
      <c r="AC5" s="6" cm="1">
        <f t="array" ref="AC5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16.5</v>
      </c>
      <c r="AD5" s="6" cm="1">
        <f t="array" ref="AD5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</v>
      </c>
      <c r="AE5" s="6" cm="1">
        <f t="array" ref="AE5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</v>
      </c>
    </row>
    <row r="6" spans="2:31" x14ac:dyDescent="0.3">
      <c r="B6" t="s">
        <v>35</v>
      </c>
      <c r="C6">
        <v>6</v>
      </c>
      <c r="E6" s="1">
        <v>17</v>
      </c>
      <c r="F6" s="1" t="s">
        <v>80</v>
      </c>
      <c r="G6" s="1" t="s">
        <v>40</v>
      </c>
      <c r="H6" s="1" t="s">
        <v>41</v>
      </c>
      <c r="I6" s="1" t="s">
        <v>51</v>
      </c>
      <c r="J6" s="1" t="s">
        <v>60</v>
      </c>
      <c r="K6" s="1"/>
      <c r="L6" s="8" t="s">
        <v>78</v>
      </c>
      <c r="M6" s="6" cm="1">
        <f t="array" ref="M6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17</v>
      </c>
      <c r="N6" s="6" cm="1">
        <f t="array" ref="N6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17</v>
      </c>
      <c r="O6" s="6" cm="1">
        <f t="array" ref="O6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</v>
      </c>
      <c r="P6" s="6" cm="1">
        <f t="array" ref="P6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</v>
      </c>
      <c r="Q6" s="6" cm="1">
        <f t="array" ref="Q6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6" s="6" cm="1">
        <f t="array" ref="R6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1.5</v>
      </c>
      <c r="S6" s="6" cm="1">
        <f t="array" ref="S6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3</v>
      </c>
      <c r="T6" s="6" cm="1">
        <f t="array" ref="T6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0.5</v>
      </c>
      <c r="U6" s="6" cm="1">
        <f t="array" ref="U6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0</v>
      </c>
      <c r="V6" s="6" cm="1">
        <f t="array" ref="V6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</v>
      </c>
      <c r="W6" s="6" cm="1">
        <f t="array" ref="W6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4.5</v>
      </c>
      <c r="X6" s="6" cm="1">
        <f t="array" ref="X6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3.5</v>
      </c>
      <c r="Y6" s="6" cm="1">
        <f t="array" ref="Y6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</v>
      </c>
      <c r="Z6" s="6" cm="1">
        <f t="array" ref="Z6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3.5</v>
      </c>
      <c r="AA6" s="6" cm="1">
        <f t="array" ref="AA6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4</v>
      </c>
      <c r="AB6" s="6" cm="1">
        <f t="array" ref="AB6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38.5</v>
      </c>
      <c r="AC6" s="6" cm="1">
        <f t="array" ref="AC6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15.5</v>
      </c>
      <c r="AD6" s="6" cm="1">
        <f t="array" ref="AD6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6" s="6" cm="1">
        <f t="array" ref="AE6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7" spans="2:31" x14ac:dyDescent="0.3">
      <c r="B7" t="s">
        <v>29</v>
      </c>
      <c r="C7">
        <v>8</v>
      </c>
      <c r="E7" s="1">
        <v>18</v>
      </c>
      <c r="F7" s="1" t="s">
        <v>4</v>
      </c>
      <c r="G7" s="1" t="s">
        <v>40</v>
      </c>
      <c r="H7" s="1" t="s">
        <v>41</v>
      </c>
      <c r="I7" s="1" t="s">
        <v>57</v>
      </c>
      <c r="J7" s="1" t="s">
        <v>60</v>
      </c>
      <c r="K7" s="1"/>
      <c r="L7" s="7" t="s">
        <v>80</v>
      </c>
      <c r="M7" s="6" cm="1">
        <f t="array" ref="M7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16.5</v>
      </c>
      <c r="N7" s="6" cm="1">
        <f t="array" ref="N7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16.5</v>
      </c>
      <c r="O7" s="6" cm="1">
        <f t="array" ref="O7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3.5</v>
      </c>
      <c r="P7" s="6" cm="1">
        <f t="array" ref="P7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3.5</v>
      </c>
      <c r="Q7" s="6" cm="1">
        <f t="array" ref="Q7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3.5</v>
      </c>
      <c r="R7" s="6" cm="1">
        <f t="array" ref="R7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</v>
      </c>
      <c r="S7" s="6" cm="1">
        <f t="array" ref="S7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2.5</v>
      </c>
      <c r="T7" s="6" cm="1">
        <f t="array" ref="T7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0</v>
      </c>
      <c r="U7" s="6" cm="1">
        <f t="array" ref="U7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0.5</v>
      </c>
      <c r="V7" s="6" cm="1">
        <f t="array" ref="V7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1.5</v>
      </c>
      <c r="W7" s="6" cm="1">
        <f t="array" ref="W7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5</v>
      </c>
      <c r="X7" s="6" cm="1">
        <f t="array" ref="X7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</v>
      </c>
      <c r="Y7" s="6" cm="1">
        <f t="array" ref="Y7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2.5</v>
      </c>
      <c r="Z7" s="6" cm="1">
        <f t="array" ref="Z7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</v>
      </c>
      <c r="AA7" s="6" cm="1">
        <f t="array" ref="AA7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4.5</v>
      </c>
      <c r="AB7" s="6" cm="1">
        <f t="array" ref="AB7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39</v>
      </c>
      <c r="AC7" s="6" cm="1">
        <f t="array" ref="AC7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</v>
      </c>
      <c r="AD7" s="6" cm="1">
        <f t="array" ref="AD7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39.5</v>
      </c>
      <c r="AE7" s="6" cm="1">
        <f t="array" ref="AE7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39.5</v>
      </c>
    </row>
    <row r="8" spans="2:31" x14ac:dyDescent="0.3">
      <c r="B8" t="s">
        <v>39</v>
      </c>
      <c r="C8">
        <v>2</v>
      </c>
      <c r="E8" s="1">
        <v>22</v>
      </c>
      <c r="F8" s="1" t="s">
        <v>25</v>
      </c>
      <c r="G8" s="1" t="s">
        <v>38</v>
      </c>
      <c r="H8" s="1" t="s">
        <v>30</v>
      </c>
      <c r="I8" s="1" t="s">
        <v>51</v>
      </c>
      <c r="J8" s="1" t="s">
        <v>60</v>
      </c>
      <c r="K8" s="1"/>
      <c r="L8" s="8" t="s">
        <v>4</v>
      </c>
      <c r="M8" s="6" cm="1">
        <f t="array" ref="M8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19</v>
      </c>
      <c r="N8" s="6" cm="1">
        <f t="array" ref="N8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19</v>
      </c>
      <c r="O8" s="6" cm="1">
        <f t="array" ref="O8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6</v>
      </c>
      <c r="P8" s="6" cm="1">
        <f t="array" ref="P8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6</v>
      </c>
      <c r="Q8" s="6" cm="1">
        <f t="array" ref="Q8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7</v>
      </c>
      <c r="R8" s="6" cm="1">
        <f t="array" ref="R8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5.5</v>
      </c>
      <c r="S8" s="6" cm="1">
        <f t="array" ref="S8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</v>
      </c>
      <c r="T8" s="6" cm="1">
        <f t="array" ref="T8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4.5</v>
      </c>
      <c r="U8" s="6" cm="1">
        <f t="array" ref="U8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8" s="6" cm="1">
        <f t="array" ref="V8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8" s="6" cm="1">
        <f t="array" ref="W8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8.5</v>
      </c>
      <c r="X8" s="6" cm="1">
        <f t="array" ref="X8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8" s="6" cm="1">
        <f t="array" ref="Y8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</v>
      </c>
      <c r="Z8" s="6" cm="1">
        <f t="array" ref="Z8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1.5</v>
      </c>
      <c r="AA8" s="6" cm="1">
        <f t="array" ref="AA8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0</v>
      </c>
      <c r="AB8" s="6" cm="1">
        <f t="array" ref="AB8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34.5</v>
      </c>
      <c r="AC8" s="6" cm="1">
        <f t="array" ref="AC8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19.5</v>
      </c>
      <c r="AD8" s="6" cm="1">
        <f t="array" ref="AD8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36</v>
      </c>
      <c r="AE8" s="6" cm="1">
        <f t="array" ref="AE8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36</v>
      </c>
    </row>
    <row r="9" spans="2:31" x14ac:dyDescent="0.3">
      <c r="B9" t="s">
        <v>45</v>
      </c>
      <c r="C9">
        <v>-3</v>
      </c>
      <c r="E9" s="1">
        <v>27</v>
      </c>
      <c r="F9" s="1" t="s">
        <v>83</v>
      </c>
      <c r="G9" s="1" t="s">
        <v>36</v>
      </c>
      <c r="H9" s="1" t="s">
        <v>31</v>
      </c>
      <c r="I9" s="1" t="s">
        <v>51</v>
      </c>
      <c r="J9" s="1" t="s">
        <v>60</v>
      </c>
      <c r="K9" s="1"/>
      <c r="L9" s="7" t="s">
        <v>75</v>
      </c>
      <c r="M9" s="6" cm="1">
        <f t="array" ref="M9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16.5</v>
      </c>
      <c r="N9" s="6" cm="1">
        <f t="array" ref="N9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16.5</v>
      </c>
      <c r="O9" s="6" cm="1">
        <f t="array" ref="O9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3.5</v>
      </c>
      <c r="P9" s="6" cm="1">
        <f t="array" ref="P9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3.5</v>
      </c>
      <c r="Q9" s="6" cm="1">
        <f t="array" ref="Q9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1.5</v>
      </c>
      <c r="R9" s="6" cm="1">
        <f t="array" ref="R9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0</v>
      </c>
      <c r="S9" s="6" cm="1">
        <f t="array" ref="S9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2.5</v>
      </c>
      <c r="T9" s="6" cm="1">
        <f t="array" ref="T9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</v>
      </c>
      <c r="U9" s="6" cm="1">
        <f t="array" ref="U9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1.5</v>
      </c>
      <c r="V9" s="6" cm="1">
        <f t="array" ref="V9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2.5</v>
      </c>
      <c r="W9" s="6" cm="1">
        <f t="array" ref="W9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</v>
      </c>
      <c r="X9" s="6" cm="1">
        <f t="array" ref="X9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</v>
      </c>
      <c r="Y9" s="6" cm="1">
        <f t="array" ref="Y9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4.5</v>
      </c>
      <c r="Z9" s="6" cm="1">
        <f t="array" ref="Z9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</v>
      </c>
      <c r="AA9" s="6" cm="1">
        <f t="array" ref="AA9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5.5</v>
      </c>
      <c r="AB9" s="6" cm="1">
        <f t="array" ref="AB9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</v>
      </c>
      <c r="AC9" s="6" cm="1">
        <f t="array" ref="AC9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</v>
      </c>
      <c r="AD9" s="6" cm="1">
        <f t="array" ref="AD9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41.5</v>
      </c>
      <c r="AE9" s="6" cm="1">
        <f t="array" ref="AE9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41.5</v>
      </c>
    </row>
    <row r="10" spans="2:31" x14ac:dyDescent="0.3">
      <c r="B10" t="s">
        <v>36</v>
      </c>
      <c r="C10">
        <v>5</v>
      </c>
      <c r="E10" s="1">
        <v>19</v>
      </c>
      <c r="F10" s="1" t="s">
        <v>79</v>
      </c>
      <c r="G10" s="1" t="s">
        <v>35</v>
      </c>
      <c r="H10" s="1" t="s">
        <v>30</v>
      </c>
      <c r="I10" s="1" t="s">
        <v>56</v>
      </c>
      <c r="J10" s="1" t="s">
        <v>60</v>
      </c>
      <c r="K10" s="1"/>
      <c r="L10" s="8" t="s">
        <v>25</v>
      </c>
      <c r="M10" s="6" cm="1">
        <f t="array" ref="M10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13</v>
      </c>
      <c r="N10" s="6" cm="1">
        <f t="array" ref="N10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13</v>
      </c>
      <c r="O10" s="6" cm="1">
        <f t="array" ref="O10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0</v>
      </c>
      <c r="P10" s="6" cm="1">
        <f t="array" ref="P10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0</v>
      </c>
      <c r="Q10" s="6" cm="1">
        <f t="array" ref="Q10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10" s="6" cm="1">
        <f t="array" ref="R10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3.5</v>
      </c>
      <c r="S10" s="6" cm="1">
        <f t="array" ref="S10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</v>
      </c>
      <c r="T10" s="6" cm="1">
        <f t="array" ref="T10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0" s="6" cm="1">
        <f t="array" ref="U10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10" s="6" cm="1">
        <f t="array" ref="V10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10" s="6" cm="1">
        <f t="array" ref="W10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6.5</v>
      </c>
      <c r="X10" s="6" cm="1">
        <f t="array" ref="X10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10" s="6" cm="1">
        <f t="array" ref="Y10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5</v>
      </c>
      <c r="Z10" s="6" cm="1">
        <f t="array" ref="Z10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7.5</v>
      </c>
      <c r="AA10" s="6" cm="1">
        <f t="array" ref="AA10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0" s="6" cm="1">
        <f t="array" ref="AB10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0" s="6" cm="1">
        <f t="array" ref="AC10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0" s="6" cm="1">
        <f t="array" ref="AD10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10" s="6" cm="1">
        <f t="array" ref="AE10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11" spans="2:31" x14ac:dyDescent="0.3">
      <c r="E11" s="1">
        <v>26</v>
      </c>
      <c r="F11" s="1" t="s">
        <v>76</v>
      </c>
      <c r="G11" s="1" t="s">
        <v>45</v>
      </c>
      <c r="H11" s="1" t="s">
        <v>30</v>
      </c>
      <c r="I11" s="1" t="s">
        <v>49</v>
      </c>
      <c r="J11" s="1" t="s">
        <v>62</v>
      </c>
      <c r="K11" s="1"/>
      <c r="L11" s="7" t="s">
        <v>76</v>
      </c>
      <c r="M11" s="6" cm="1">
        <f t="array" ref="M1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33.5</v>
      </c>
      <c r="N11" s="6" cm="1">
        <f t="array" ref="N1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33.5</v>
      </c>
      <c r="O11" s="6" cm="1">
        <f t="array" ref="O1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40.5</v>
      </c>
      <c r="P11" s="6" cm="1">
        <f t="array" ref="P1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40.5</v>
      </c>
      <c r="Q11" s="6" cm="1">
        <f t="array" ref="Q1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40.5</v>
      </c>
      <c r="R11" s="6" cm="1">
        <f t="array" ref="R1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40</v>
      </c>
      <c r="S11" s="6" cm="1">
        <f t="array" ref="S1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40.5</v>
      </c>
      <c r="T11" s="6" cm="1">
        <f t="array" ref="T1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</v>
      </c>
      <c r="U11" s="6" cm="1">
        <f t="array" ref="U1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38.5</v>
      </c>
      <c r="V11" s="6" cm="1">
        <f t="array" ref="V1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38.5</v>
      </c>
      <c r="W11" s="6" cm="1">
        <f t="array" ref="W1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42</v>
      </c>
      <c r="X11" s="6" cm="1">
        <f t="array" ref="X1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41</v>
      </c>
      <c r="Y11" s="6" cm="1">
        <f t="array" ref="Y1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36.5</v>
      </c>
      <c r="Z11" s="6" cm="1">
        <f t="array" ref="Z1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36</v>
      </c>
      <c r="AA11" s="6" cm="1">
        <f t="array" ref="AA1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34.5</v>
      </c>
      <c r="AB11" s="6" cm="1">
        <f t="array" ref="AB1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0</v>
      </c>
      <c r="AC11" s="6" cm="1">
        <f t="array" ref="AC1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34</v>
      </c>
      <c r="AD11" s="6" cm="1">
        <f t="array" ref="AD1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2.5</v>
      </c>
      <c r="AE11" s="6" cm="1">
        <f t="array" ref="AE1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2.5</v>
      </c>
    </row>
    <row r="12" spans="2:31" x14ac:dyDescent="0.3">
      <c r="E12" s="1">
        <v>25</v>
      </c>
      <c r="F12" s="1" t="s">
        <v>27</v>
      </c>
      <c r="G12" s="1" t="s">
        <v>45</v>
      </c>
      <c r="H12" s="1" t="s">
        <v>44</v>
      </c>
      <c r="I12" s="1" t="s">
        <v>54</v>
      </c>
      <c r="J12" s="1" t="s">
        <v>62</v>
      </c>
      <c r="K12" s="1"/>
      <c r="L12" s="8" t="s">
        <v>83</v>
      </c>
      <c r="M12" s="6" cm="1">
        <f t="array" ref="M12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31</v>
      </c>
      <c r="N12" s="6" cm="1">
        <f t="array" ref="N12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31</v>
      </c>
      <c r="O12" s="6" cm="1">
        <f t="array" ref="O12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</v>
      </c>
      <c r="P12" s="6" cm="1">
        <f t="array" ref="P12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</v>
      </c>
      <c r="Q12" s="6" cm="1">
        <f t="array" ref="Q12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43</v>
      </c>
      <c r="R12" s="6" cm="1">
        <f t="array" ref="R12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41.5</v>
      </c>
      <c r="S12" s="6" cm="1">
        <f t="array" ref="S12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41</v>
      </c>
      <c r="T12" s="6" cm="1">
        <f t="array" ref="T12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39.5</v>
      </c>
      <c r="U12" s="6" cm="1">
        <f t="array" ref="U12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40</v>
      </c>
      <c r="V12" s="6" cm="1">
        <f t="array" ref="V12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41</v>
      </c>
      <c r="W12" s="6" cm="1">
        <f t="array" ref="W12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44.5</v>
      </c>
      <c r="X12" s="6" cm="1">
        <f t="array" ref="X12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43.5</v>
      </c>
      <c r="Y12" s="6" cm="1">
        <f t="array" ref="Y12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37</v>
      </c>
      <c r="Z12" s="6" cm="1">
        <f t="array" ref="Z12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37.5</v>
      </c>
      <c r="AA12" s="6" cm="1">
        <f t="array" ref="AA12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36</v>
      </c>
      <c r="AB12" s="6" cm="1">
        <f t="array" ref="AB12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2.5</v>
      </c>
      <c r="AC12" s="6" cm="1">
        <f t="array" ref="AC12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32.5</v>
      </c>
      <c r="AD12" s="6" cm="1">
        <f t="array" ref="AD12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0</v>
      </c>
      <c r="AE12" s="6" cm="1">
        <f t="array" ref="AE12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0</v>
      </c>
    </row>
    <row r="13" spans="2:31" x14ac:dyDescent="0.3">
      <c r="E13" s="1">
        <v>13</v>
      </c>
      <c r="F13" s="1" t="s">
        <v>26</v>
      </c>
      <c r="G13" s="1" t="s">
        <v>45</v>
      </c>
      <c r="H13" s="1" t="s">
        <v>44</v>
      </c>
      <c r="I13" s="1" t="s">
        <v>54</v>
      </c>
      <c r="J13" s="1" t="s">
        <v>62</v>
      </c>
      <c r="K13" s="1"/>
      <c r="L13" s="7" t="s">
        <v>84</v>
      </c>
      <c r="M13" s="6" cm="1">
        <f t="array" ref="M13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31</v>
      </c>
      <c r="N13" s="6" cm="1">
        <f t="array" ref="N13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31</v>
      </c>
      <c r="O13" s="6" cm="1">
        <f t="array" ref="O13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</v>
      </c>
      <c r="P13" s="6" cm="1">
        <f t="array" ref="P13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</v>
      </c>
      <c r="Q13" s="6" cm="1">
        <f t="array" ref="Q13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43</v>
      </c>
      <c r="R13" s="6" cm="1">
        <f t="array" ref="R13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41.5</v>
      </c>
      <c r="S13" s="6" cm="1">
        <f t="array" ref="S13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41</v>
      </c>
      <c r="T13" s="6" cm="1">
        <f t="array" ref="T13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39.5</v>
      </c>
      <c r="U13" s="6" cm="1">
        <f t="array" ref="U13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40</v>
      </c>
      <c r="V13" s="6" cm="1">
        <f t="array" ref="V13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41</v>
      </c>
      <c r="W13" s="6" cm="1">
        <f t="array" ref="W13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44.5</v>
      </c>
      <c r="X13" s="6" cm="1">
        <f t="array" ref="X13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43.5</v>
      </c>
      <c r="Y13" s="6" cm="1">
        <f t="array" ref="Y13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37</v>
      </c>
      <c r="Z13" s="6" cm="1">
        <f t="array" ref="Z13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37.5</v>
      </c>
      <c r="AA13" s="6" cm="1">
        <f t="array" ref="AA13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36</v>
      </c>
      <c r="AB13" s="6" cm="1">
        <f t="array" ref="AB13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2.5</v>
      </c>
      <c r="AC13" s="6" cm="1">
        <f t="array" ref="AC13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32.5</v>
      </c>
      <c r="AD13" s="6" cm="1">
        <f t="array" ref="AD13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0</v>
      </c>
      <c r="AE13" s="6" cm="1">
        <f t="array" ref="AE13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0</v>
      </c>
    </row>
    <row r="14" spans="2:31" x14ac:dyDescent="0.3">
      <c r="B14" t="s">
        <v>72</v>
      </c>
      <c r="C14" t="s">
        <v>73</v>
      </c>
      <c r="E14" s="1">
        <v>12</v>
      </c>
      <c r="F14" s="1" t="s">
        <v>77</v>
      </c>
      <c r="G14" s="1" t="s">
        <v>29</v>
      </c>
      <c r="H14" s="1" t="s">
        <v>44</v>
      </c>
      <c r="I14" s="1" t="s">
        <v>54</v>
      </c>
      <c r="J14" s="1" t="s">
        <v>59</v>
      </c>
      <c r="K14" s="1"/>
      <c r="L14" s="8" t="s">
        <v>81</v>
      </c>
      <c r="M14" s="6" cm="1">
        <f t="array" ref="M14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0</v>
      </c>
      <c r="N14" s="6" cm="1">
        <f t="array" ref="N14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0</v>
      </c>
      <c r="O14" s="6" cm="1">
        <f t="array" ref="O14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</v>
      </c>
      <c r="P14" s="6" cm="1">
        <f t="array" ref="P14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</v>
      </c>
      <c r="Q14" s="6" cm="1">
        <f t="array" ref="Q14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16</v>
      </c>
      <c r="R14" s="6" cm="1">
        <f t="array" ref="R14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16.5</v>
      </c>
      <c r="S14" s="6" cm="1">
        <f t="array" ref="S14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14</v>
      </c>
      <c r="T14" s="6" cm="1">
        <f t="array" ref="T14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16.5</v>
      </c>
      <c r="U14" s="6" cm="1">
        <f t="array" ref="U14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17</v>
      </c>
      <c r="V14" s="6" cm="1">
        <f t="array" ref="V14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18</v>
      </c>
      <c r="W14" s="6" cm="1">
        <f t="array" ref="W14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19.5</v>
      </c>
      <c r="X14" s="6" cm="1">
        <f t="array" ref="X14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20.5</v>
      </c>
      <c r="Y14" s="6" cm="1">
        <f t="array" ref="Y14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18</v>
      </c>
      <c r="Z14" s="6" cm="1">
        <f t="array" ref="Z14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20.5</v>
      </c>
      <c r="AA14" s="6" cm="1">
        <f t="array" ref="AA14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</v>
      </c>
      <c r="AB14" s="6" cm="1">
        <f t="array" ref="AB14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33.5</v>
      </c>
      <c r="AC14" s="6" cm="1">
        <f t="array" ref="AC14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1.5</v>
      </c>
      <c r="AD14" s="6" cm="1">
        <f t="array" ref="AD14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31</v>
      </c>
      <c r="AE14" s="6" cm="1">
        <f t="array" ref="AE14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31</v>
      </c>
    </row>
    <row r="15" spans="2:31" x14ac:dyDescent="0.3">
      <c r="B15" t="s">
        <v>30</v>
      </c>
      <c r="C15">
        <v>1</v>
      </c>
      <c r="E15" s="1">
        <v>10</v>
      </c>
      <c r="F15" s="1" t="s">
        <v>78</v>
      </c>
      <c r="G15" s="1" t="s">
        <v>35</v>
      </c>
      <c r="H15" s="1" t="s">
        <v>30</v>
      </c>
      <c r="I15" s="1" t="s">
        <v>56</v>
      </c>
      <c r="J15" s="1" t="s">
        <v>60</v>
      </c>
      <c r="K15" s="1"/>
      <c r="L15" s="7" t="s">
        <v>82</v>
      </c>
      <c r="M15" s="6" cm="1">
        <f t="array" ref="M15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13</v>
      </c>
      <c r="N15" s="6" cm="1">
        <f t="array" ref="N15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13</v>
      </c>
      <c r="O15" s="6" cm="1">
        <f t="array" ref="O15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0</v>
      </c>
      <c r="P15" s="6" cm="1">
        <f t="array" ref="P15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0</v>
      </c>
      <c r="Q15" s="6" cm="1">
        <f t="array" ref="Q15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15" s="6" cm="1">
        <f t="array" ref="R15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3.5</v>
      </c>
      <c r="S15" s="6" cm="1">
        <f t="array" ref="S15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</v>
      </c>
      <c r="T15" s="6" cm="1">
        <f t="array" ref="T15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5" s="6" cm="1">
        <f t="array" ref="U15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15" s="6" cm="1">
        <f t="array" ref="V15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15" s="6" cm="1">
        <f t="array" ref="W15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6.5</v>
      </c>
      <c r="X15" s="6" cm="1">
        <f t="array" ref="X15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15" s="6" cm="1">
        <f t="array" ref="Y15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5</v>
      </c>
      <c r="Z15" s="6" cm="1">
        <f t="array" ref="Z15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7.5</v>
      </c>
      <c r="AA15" s="6" cm="1">
        <f t="array" ref="AA15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5" s="6" cm="1">
        <f t="array" ref="AB15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5" s="6" cm="1">
        <f t="array" ref="AC15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5" s="6" cm="1">
        <f t="array" ref="AD15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15" s="6" cm="1">
        <f t="array" ref="AE15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16" spans="2:31" x14ac:dyDescent="0.3">
      <c r="B16" t="s">
        <v>44</v>
      </c>
      <c r="C16">
        <v>0</v>
      </c>
      <c r="E16" s="1">
        <v>20</v>
      </c>
      <c r="F16" s="1" t="s">
        <v>34</v>
      </c>
      <c r="G16" s="1" t="s">
        <v>35</v>
      </c>
      <c r="H16" s="1" t="s">
        <v>43</v>
      </c>
      <c r="I16" s="1" t="s">
        <v>57</v>
      </c>
      <c r="J16" s="1" t="s">
        <v>60</v>
      </c>
      <c r="K16" s="1"/>
      <c r="L16" s="8" t="s">
        <v>27</v>
      </c>
      <c r="M16" s="6" cm="1">
        <f t="array" ref="M16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14</v>
      </c>
      <c r="N16" s="6" cm="1">
        <f t="array" ref="N16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14</v>
      </c>
      <c r="O16" s="6" cm="1">
        <f t="array" ref="O16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</v>
      </c>
      <c r="P16" s="6" cm="1">
        <f t="array" ref="P16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</v>
      </c>
      <c r="Q16" s="6" cm="1">
        <f t="array" ref="Q16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2</v>
      </c>
      <c r="R16" s="6" cm="1">
        <f t="array" ref="R16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2.5</v>
      </c>
      <c r="S16" s="6" cm="1">
        <f t="array" ref="S16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0</v>
      </c>
      <c r="T16" s="6" cm="1">
        <f t="array" ref="T16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2.5</v>
      </c>
      <c r="U16" s="6" cm="1">
        <f t="array" ref="U16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16" s="6" cm="1">
        <f t="array" ref="V16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</v>
      </c>
      <c r="W16" s="6" cm="1">
        <f t="array" ref="W16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5.5</v>
      </c>
      <c r="X16" s="6" cm="1">
        <f t="array" ref="X16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6.5</v>
      </c>
      <c r="Y16" s="6" cm="1">
        <f t="array" ref="Y16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</v>
      </c>
      <c r="Z16" s="6" cm="1">
        <f t="array" ref="Z16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6.5</v>
      </c>
      <c r="AA16" s="6" cm="1">
        <f t="array" ref="AA16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6" s="6" cm="1">
        <f t="array" ref="AB16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6" s="6" cm="1">
        <f t="array" ref="AC16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6" s="6" cm="1">
        <f t="array" ref="AD16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</v>
      </c>
      <c r="AE16" s="6" cm="1">
        <f t="array" ref="AE16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</v>
      </c>
    </row>
    <row r="17" spans="2:31" x14ac:dyDescent="0.3">
      <c r="B17" t="s">
        <v>43</v>
      </c>
      <c r="C17">
        <v>2</v>
      </c>
      <c r="E17" s="1">
        <v>11</v>
      </c>
      <c r="F17" s="1" t="s">
        <v>75</v>
      </c>
      <c r="G17" s="1" t="s">
        <v>38</v>
      </c>
      <c r="H17" s="1" t="s">
        <v>31</v>
      </c>
      <c r="I17" s="1" t="s">
        <v>51</v>
      </c>
      <c r="J17" s="1" t="s">
        <v>60</v>
      </c>
      <c r="K17" s="1"/>
      <c r="L17" s="7" t="s">
        <v>26</v>
      </c>
      <c r="M17" s="6" cm="1">
        <f t="array" ref="M17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20.5</v>
      </c>
      <c r="N17" s="6" cm="1">
        <f t="array" ref="N17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20.5</v>
      </c>
      <c r="O17" s="6" cm="1">
        <f t="array" ref="O17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7.5</v>
      </c>
      <c r="P17" s="6" cm="1">
        <f t="array" ref="P17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7.5</v>
      </c>
      <c r="Q17" s="6" cm="1">
        <f t="array" ref="Q17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5.5</v>
      </c>
      <c r="R17" s="6" cm="1">
        <f t="array" ref="R17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</v>
      </c>
      <c r="S17" s="6" cm="1">
        <f t="array" ref="S17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6.5</v>
      </c>
      <c r="T17" s="6" cm="1">
        <f t="array" ref="T17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</v>
      </c>
      <c r="U17" s="6" cm="1">
        <f t="array" ref="U17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3.5</v>
      </c>
      <c r="V17" s="6" cm="1">
        <f t="array" ref="V17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4.5</v>
      </c>
      <c r="W17" s="6" cm="1">
        <f t="array" ref="W17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7</v>
      </c>
      <c r="X17" s="6" cm="1">
        <f t="array" ref="X17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</v>
      </c>
      <c r="Y17" s="6" cm="1">
        <f t="array" ref="Y17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2.5</v>
      </c>
      <c r="Z17" s="6" cm="1">
        <f t="array" ref="Z17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0</v>
      </c>
      <c r="AA17" s="6" cm="1">
        <f t="array" ref="AA17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1.5</v>
      </c>
      <c r="AB17" s="6" cm="1">
        <f t="array" ref="AB17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36</v>
      </c>
      <c r="AC17" s="6" cm="1">
        <f t="array" ref="AC17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</v>
      </c>
      <c r="AD17" s="6" cm="1">
        <f t="array" ref="AD17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37.5</v>
      </c>
      <c r="AE17" s="6" cm="1">
        <f t="array" ref="AE17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37.5</v>
      </c>
    </row>
    <row r="18" spans="2:31" x14ac:dyDescent="0.3">
      <c r="B18" t="s">
        <v>31</v>
      </c>
      <c r="C18">
        <v>4</v>
      </c>
      <c r="E18" s="1">
        <v>30</v>
      </c>
      <c r="F18" s="1" t="s">
        <v>85</v>
      </c>
      <c r="G18" s="1" t="s">
        <v>29</v>
      </c>
      <c r="H18" s="1" t="s">
        <v>44</v>
      </c>
      <c r="I18" s="1" t="s">
        <v>54</v>
      </c>
      <c r="J18" s="1" t="s">
        <v>59</v>
      </c>
      <c r="K18" s="1"/>
      <c r="L18" s="8" t="s">
        <v>34</v>
      </c>
      <c r="M18" s="6" cm="1">
        <f t="array" ref="M18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0</v>
      </c>
      <c r="N18" s="6" cm="1">
        <f t="array" ref="N18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0</v>
      </c>
      <c r="O18" s="6" cm="1">
        <f t="array" ref="O18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</v>
      </c>
      <c r="P18" s="6" cm="1">
        <f t="array" ref="P18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</v>
      </c>
      <c r="Q18" s="6" cm="1">
        <f t="array" ref="Q18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16</v>
      </c>
      <c r="R18" s="6" cm="1">
        <f t="array" ref="R18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16.5</v>
      </c>
      <c r="S18" s="6" cm="1">
        <f t="array" ref="S18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14</v>
      </c>
      <c r="T18" s="6" cm="1">
        <f t="array" ref="T18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16.5</v>
      </c>
      <c r="U18" s="6" cm="1">
        <f t="array" ref="U18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17</v>
      </c>
      <c r="V18" s="6" cm="1">
        <f t="array" ref="V18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18</v>
      </c>
      <c r="W18" s="6" cm="1">
        <f t="array" ref="W18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19.5</v>
      </c>
      <c r="X18" s="6" cm="1">
        <f t="array" ref="X18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20.5</v>
      </c>
      <c r="Y18" s="6" cm="1">
        <f t="array" ref="Y18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18</v>
      </c>
      <c r="Z18" s="6" cm="1">
        <f t="array" ref="Z18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20.5</v>
      </c>
      <c r="AA18" s="6" cm="1">
        <f t="array" ref="AA18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</v>
      </c>
      <c r="AB18" s="6" cm="1">
        <f t="array" ref="AB18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33.5</v>
      </c>
      <c r="AC18" s="6" cm="1">
        <f t="array" ref="AC18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1.5</v>
      </c>
      <c r="AD18" s="6" cm="1">
        <f t="array" ref="AD18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31</v>
      </c>
      <c r="AE18" s="6" cm="1">
        <f t="array" ref="AE18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31</v>
      </c>
    </row>
    <row r="19" spans="2:31" x14ac:dyDescent="0.3">
      <c r="B19" t="s">
        <v>41</v>
      </c>
      <c r="C19">
        <v>3</v>
      </c>
      <c r="E19" s="1">
        <v>8</v>
      </c>
      <c r="F19" s="1" t="s">
        <v>84</v>
      </c>
      <c r="G19" s="1" t="s">
        <v>35</v>
      </c>
      <c r="H19" s="1" t="s">
        <v>31</v>
      </c>
      <c r="I19" s="1" t="s">
        <v>49</v>
      </c>
      <c r="J19" s="1" t="s">
        <v>60</v>
      </c>
      <c r="K19" s="1"/>
      <c r="L19" s="7" t="s">
        <v>85</v>
      </c>
      <c r="M19" s="6" cm="1">
        <f t="array" ref="M19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</v>
      </c>
      <c r="N19" s="6" cm="1">
        <f t="array" ref="N19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</v>
      </c>
      <c r="O19" s="6" cm="1">
        <f t="array" ref="O19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</v>
      </c>
      <c r="P19" s="6" cm="1">
        <f t="array" ref="P19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</v>
      </c>
      <c r="Q19" s="6" cm="1">
        <f t="array" ref="Q19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0</v>
      </c>
      <c r="R19" s="6" cm="1">
        <f t="array" ref="R19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1.5</v>
      </c>
      <c r="S19" s="6" cm="1">
        <f t="array" ref="S19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</v>
      </c>
      <c r="T19" s="6" cm="1">
        <f t="array" ref="T19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9" s="6" cm="1">
        <f t="array" ref="U19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19" s="6" cm="1">
        <f t="array" ref="V19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</v>
      </c>
      <c r="W19" s="6" cm="1">
        <f t="array" ref="W19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3.5</v>
      </c>
      <c r="X19" s="6" cm="1">
        <f t="array" ref="X19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4.5</v>
      </c>
      <c r="Y19" s="6" cm="1">
        <f t="array" ref="Y19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6</v>
      </c>
      <c r="Z19" s="6" cm="1">
        <f t="array" ref="Z19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5.5</v>
      </c>
      <c r="AA19" s="6" cm="1">
        <f t="array" ref="AA19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7</v>
      </c>
      <c r="AB19" s="6" cm="1">
        <f t="array" ref="AB19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9" s="6" cm="1">
        <f t="array" ref="AC19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14.5</v>
      </c>
      <c r="AD19" s="6" cm="1">
        <f t="array" ref="AD19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43</v>
      </c>
      <c r="AE19" s="6" cm="1">
        <f t="array" ref="AE19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43</v>
      </c>
    </row>
    <row r="20" spans="2:31" x14ac:dyDescent="0.3">
      <c r="B20" t="s">
        <v>42</v>
      </c>
      <c r="C20">
        <v>7</v>
      </c>
      <c r="E20" s="1">
        <v>21</v>
      </c>
      <c r="F20" s="1" t="s">
        <v>28</v>
      </c>
      <c r="G20" s="1" t="s">
        <v>39</v>
      </c>
      <c r="H20" s="1" t="s">
        <v>43</v>
      </c>
      <c r="I20" s="1" t="s">
        <v>57</v>
      </c>
      <c r="J20" s="1" t="s">
        <v>60</v>
      </c>
      <c r="K20" s="1"/>
      <c r="L20" s="8" t="s">
        <v>28</v>
      </c>
      <c r="M20" s="6" cm="1">
        <f t="array" ref="M20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18</v>
      </c>
      <c r="N20" s="6" cm="1">
        <f t="array" ref="N20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18</v>
      </c>
      <c r="O20" s="6" cm="1">
        <f t="array" ref="O20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5</v>
      </c>
      <c r="P20" s="6" cm="1">
        <f t="array" ref="P20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5</v>
      </c>
      <c r="Q20" s="6" cm="1">
        <f t="array" ref="Q20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6</v>
      </c>
      <c r="R20" s="6" cm="1">
        <f t="array" ref="R20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4.5</v>
      </c>
      <c r="S20" s="6" cm="1">
        <f t="array" ref="S20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</v>
      </c>
      <c r="T20" s="6" cm="1">
        <f t="array" ref="T20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2.5</v>
      </c>
      <c r="U20" s="6" cm="1">
        <f t="array" ref="U20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20" s="6" cm="1">
        <f t="array" ref="V20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</v>
      </c>
      <c r="W20" s="6" cm="1">
        <f t="array" ref="W20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7.5</v>
      </c>
      <c r="X20" s="6" cm="1">
        <f t="array" ref="X20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6.5</v>
      </c>
      <c r="Y20" s="6" cm="1">
        <f t="array" ref="Y20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0</v>
      </c>
      <c r="Z20" s="6" cm="1">
        <f t="array" ref="Z20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2.5</v>
      </c>
      <c r="AA20" s="6" cm="1">
        <f t="array" ref="AA20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2</v>
      </c>
      <c r="AB20" s="6" cm="1">
        <f t="array" ref="AB20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36.5</v>
      </c>
      <c r="AC20" s="6" cm="1">
        <f t="array" ref="AC20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17.5</v>
      </c>
      <c r="AD20" s="6" cm="1">
        <f t="array" ref="AD20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37</v>
      </c>
      <c r="AE20" s="6" cm="1">
        <f t="array" ref="AE20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37</v>
      </c>
    </row>
    <row r="21" spans="2:31" x14ac:dyDescent="0.3">
      <c r="E21" s="1">
        <v>9</v>
      </c>
      <c r="F21" s="1" t="s">
        <v>81</v>
      </c>
      <c r="G21" s="1" t="s">
        <v>36</v>
      </c>
      <c r="H21" s="1" t="s">
        <v>42</v>
      </c>
      <c r="I21" s="1" t="s">
        <v>55</v>
      </c>
      <c r="J21" s="1" t="s">
        <v>60</v>
      </c>
      <c r="K21" s="1"/>
      <c r="L21" s="7" t="s">
        <v>77</v>
      </c>
      <c r="M21" s="6" cm="1">
        <f t="array" ref="M2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19.5</v>
      </c>
      <c r="N21" s="6" cm="1">
        <f t="array" ref="N2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19.5</v>
      </c>
      <c r="O21" s="6" cm="1">
        <f t="array" ref="O2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6.5</v>
      </c>
      <c r="P21" s="6" cm="1">
        <f t="array" ref="P2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6.5</v>
      </c>
      <c r="Q21" s="6" cm="1">
        <f t="array" ref="Q2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3.5</v>
      </c>
      <c r="R21" s="6" cm="1">
        <f t="array" ref="R2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</v>
      </c>
      <c r="S21" s="6" cm="1">
        <f t="array" ref="S2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5.5</v>
      </c>
      <c r="T21" s="6" cm="1">
        <f t="array" ref="T2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5</v>
      </c>
      <c r="U21" s="6" cm="1">
        <f t="array" ref="U2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4.5</v>
      </c>
      <c r="V21" s="6" cm="1">
        <f t="array" ref="V2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3.5</v>
      </c>
      <c r="W21" s="6" cm="1">
        <f t="array" ref="W2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0</v>
      </c>
      <c r="X21" s="6" cm="1">
        <f t="array" ref="X2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1</v>
      </c>
      <c r="Y21" s="6" cm="1">
        <f t="array" ref="Y2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7.5</v>
      </c>
      <c r="Z21" s="6" cm="1">
        <f t="array" ref="Z2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</v>
      </c>
      <c r="AA21" s="6" cm="1">
        <f t="array" ref="AA2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8.5</v>
      </c>
      <c r="AB21" s="6" cm="1">
        <f t="array" ref="AB2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42</v>
      </c>
      <c r="AC21" s="6" cm="1">
        <f t="array" ref="AC2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18</v>
      </c>
      <c r="AD21" s="6" cm="1">
        <f t="array" ref="AD2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44.5</v>
      </c>
      <c r="AE21" s="6" cm="1">
        <f t="array" ref="AE2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44.5</v>
      </c>
    </row>
    <row r="22" spans="2:31" ht="75.599999999999994" customHeight="1" x14ac:dyDescent="0.3">
      <c r="M22" s="14" t="s">
        <v>74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</row>
    <row r="24" spans="2:31" x14ac:dyDescent="0.3">
      <c r="B24" t="s">
        <v>72</v>
      </c>
      <c r="C24" t="s">
        <v>73</v>
      </c>
      <c r="M24">
        <f>MAX(BiomeCompat[])</f>
        <v>44.5</v>
      </c>
    </row>
    <row r="25" spans="2:31" x14ac:dyDescent="0.3">
      <c r="B25" t="s">
        <v>55</v>
      </c>
      <c r="C25">
        <v>6</v>
      </c>
    </row>
    <row r="26" spans="2:31" x14ac:dyDescent="0.3">
      <c r="B26" t="s">
        <v>57</v>
      </c>
      <c r="C26">
        <v>2</v>
      </c>
    </row>
    <row r="27" spans="2:31" x14ac:dyDescent="0.3">
      <c r="B27" t="s">
        <v>51</v>
      </c>
      <c r="C27">
        <v>3</v>
      </c>
    </row>
    <row r="28" spans="2:31" x14ac:dyDescent="0.3">
      <c r="B28" t="s">
        <v>54</v>
      </c>
      <c r="C28">
        <v>0</v>
      </c>
    </row>
    <row r="29" spans="2:31" x14ac:dyDescent="0.3">
      <c r="B29" t="s">
        <v>56</v>
      </c>
      <c r="C29">
        <v>1</v>
      </c>
    </row>
    <row r="30" spans="2:31" x14ac:dyDescent="0.3">
      <c r="B30" t="s">
        <v>50</v>
      </c>
      <c r="C30">
        <v>5</v>
      </c>
    </row>
    <row r="31" spans="2:31" x14ac:dyDescent="0.3">
      <c r="B31" t="s">
        <v>49</v>
      </c>
      <c r="C31">
        <v>4</v>
      </c>
    </row>
    <row r="33" spans="2:6" x14ac:dyDescent="0.3">
      <c r="B33" t="s">
        <v>72</v>
      </c>
      <c r="C33" t="s">
        <v>73</v>
      </c>
      <c r="D33" t="s">
        <v>65</v>
      </c>
    </row>
    <row r="34" spans="2:6" x14ac:dyDescent="0.3">
      <c r="B34" t="s">
        <v>59</v>
      </c>
      <c r="C34">
        <v>10</v>
      </c>
      <c r="D34" t="s">
        <v>67</v>
      </c>
      <c r="F34" s="5"/>
    </row>
    <row r="35" spans="2:6" x14ac:dyDescent="0.3">
      <c r="B35" t="s">
        <v>63</v>
      </c>
      <c r="C35">
        <v>40</v>
      </c>
      <c r="D35" t="s">
        <v>70</v>
      </c>
      <c r="F35" s="5"/>
    </row>
    <row r="36" spans="2:6" x14ac:dyDescent="0.3">
      <c r="B36" t="s">
        <v>64</v>
      </c>
      <c r="C36">
        <v>50</v>
      </c>
      <c r="D36" t="s">
        <v>71</v>
      </c>
    </row>
    <row r="37" spans="2:6" x14ac:dyDescent="0.3">
      <c r="B37" t="s">
        <v>60</v>
      </c>
      <c r="C37">
        <v>20</v>
      </c>
      <c r="D37" t="s">
        <v>68</v>
      </c>
    </row>
    <row r="38" spans="2:6" x14ac:dyDescent="0.3">
      <c r="B38" t="s">
        <v>61</v>
      </c>
      <c r="C38">
        <v>30</v>
      </c>
      <c r="D38" t="s">
        <v>69</v>
      </c>
    </row>
    <row r="39" spans="2:6" x14ac:dyDescent="0.3">
      <c r="B39" t="s">
        <v>62</v>
      </c>
      <c r="C39">
        <v>-10</v>
      </c>
      <c r="D39" t="s">
        <v>66</v>
      </c>
    </row>
  </sheetData>
  <sortState xmlns:xlrd2="http://schemas.microsoft.com/office/spreadsheetml/2017/richdata2" ref="M3:P21">
    <sortCondition ref="O3:O21"/>
    <sortCondition ref="P3:P21"/>
  </sortState>
  <mergeCells count="8">
    <mergeCell ref="M22:AE22"/>
    <mergeCell ref="AD1:AE1"/>
    <mergeCell ref="M1:N1"/>
    <mergeCell ref="O1:Q1"/>
    <mergeCell ref="R1:S1"/>
    <mergeCell ref="T1:W1"/>
    <mergeCell ref="X1:Z1"/>
    <mergeCell ref="AA1:AC1"/>
  </mergeCells>
  <phoneticPr fontId="4" type="noConversion"/>
  <dataValidations count="5">
    <dataValidation type="list" allowBlank="1" showInputMessage="1" showErrorMessage="1" sqref="H3:H21 K3:K21" xr:uid="{E4E7CB84-1AD1-4D3F-8EBF-679ADFE99CC0}">
      <formula1>$B$15:$B$20</formula1>
    </dataValidation>
    <dataValidation type="list" allowBlank="1" showInputMessage="1" showErrorMessage="1" sqref="M2:AE2" xr:uid="{CE47AB52-BB1C-4C31-91E0-1FEFDEEDB66A}">
      <formula1>$F$3:$F$21</formula1>
    </dataValidation>
    <dataValidation type="list" allowBlank="1" showInputMessage="1" showErrorMessage="1" sqref="G3:G21" xr:uid="{681711CF-E084-4E30-AB92-E506995A9418}">
      <formula1>$B$3:$B$10</formula1>
    </dataValidation>
    <dataValidation type="list" allowBlank="1" showInputMessage="1" showErrorMessage="1" sqref="I3:I21" xr:uid="{1C156BD3-C7A6-4F77-A879-F973A7D4407E}">
      <formula1>$B$25:$B$31</formula1>
    </dataValidation>
    <dataValidation type="list" allowBlank="1" showInputMessage="1" showErrorMessage="1" sqref="J3:J21" xr:uid="{2527FE59-C32C-4C90-8DF3-10A288024301}">
      <formula1>$B$34:$B$39</formula1>
    </dataValidation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57A507-781F-4269-91E6-007D1D6C3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Wolf</dc:creator>
  <cp:lastModifiedBy>Steven Wolf</cp:lastModifiedBy>
  <dcterms:created xsi:type="dcterms:W3CDTF">2023-02-27T14:10:47Z</dcterms:created>
  <dcterms:modified xsi:type="dcterms:W3CDTF">2023-04-08T01:45:46Z</dcterms:modified>
</cp:coreProperties>
</file>