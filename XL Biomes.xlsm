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7E91E1BD-8B42-4FE4-993C-77460B1CCC61}" xr6:coauthVersionLast="47" xr6:coauthVersionMax="47" xr10:uidLastSave="{00000000-0000-0000-0000-000000000000}"/>
  <bookViews>
    <workbookView xWindow="0" yWindow="0" windowWidth="23028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 a="1"/>
  <c r="F5" i="1" s="1"/>
  <c r="G5" i="1" a="1"/>
  <c r="G5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M5" i="1" a="1"/>
  <c r="M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/>
  <c r="U5" i="1" a="1"/>
  <c r="U5" i="1" s="1"/>
  <c r="V5" i="1" a="1"/>
  <c r="V5" i="1" s="1"/>
  <c r="W5" i="1" a="1"/>
  <c r="W5" i="1" s="1"/>
  <c r="F6" i="1" a="1"/>
  <c r="F6" i="1" s="1"/>
  <c r="G6" i="1" a="1"/>
  <c r="G6" i="1" s="1"/>
  <c r="H6" i="1" a="1"/>
  <c r="H6" i="1" s="1"/>
  <c r="I6" i="1" a="1"/>
  <c r="I6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P7" i="1" a="1"/>
  <c r="P7" i="1" s="1"/>
  <c r="Q7" i="1" a="1"/>
  <c r="Q7" i="1" s="1"/>
  <c r="R7" i="1" a="1"/>
  <c r="R7" i="1" s="1"/>
  <c r="S7" i="1" a="1"/>
  <c r="S7" i="1" s="1"/>
  <c r="T7" i="1" a="1"/>
  <c r="T7" i="1" s="1"/>
  <c r="U7" i="1" a="1"/>
  <c r="U7" i="1" s="1"/>
  <c r="V7" i="1" a="1"/>
  <c r="V7" i="1" s="1"/>
  <c r="W7" i="1" a="1"/>
  <c r="W7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 s="1"/>
  <c r="O8" i="1" a="1"/>
  <c r="O8" i="1" s="1"/>
  <c r="P8" i="1" a="1"/>
  <c r="P8" i="1" s="1"/>
  <c r="Q8" i="1" a="1"/>
  <c r="Q8" i="1" s="1"/>
  <c r="R8" i="1" a="1"/>
  <c r="R8" i="1" s="1"/>
  <c r="S8" i="1" a="1"/>
  <c r="S8" i="1" s="1"/>
  <c r="T8" i="1" a="1"/>
  <c r="T8" i="1" s="1"/>
  <c r="U8" i="1" a="1"/>
  <c r="U8" i="1" s="1"/>
  <c r="V8" i="1" a="1"/>
  <c r="V8" i="1" s="1"/>
  <c r="W8" i="1" a="1"/>
  <c r="W8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L9" i="1" a="1"/>
  <c r="L9" i="1"/>
  <c r="M9" i="1" a="1"/>
  <c r="M9" i="1" s="1"/>
  <c r="N9" i="1" a="1"/>
  <c r="N9" i="1" s="1"/>
  <c r="O9" i="1" a="1"/>
  <c r="O9" i="1" s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V9" i="1" a="1"/>
  <c r="V9" i="1" s="1"/>
  <c r="W9" i="1" a="1"/>
  <c r="W9" i="1" s="1"/>
  <c r="F10" i="1" a="1"/>
  <c r="F10" i="1" s="1"/>
  <c r="G10" i="1" a="1"/>
  <c r="G10" i="1" s="1"/>
  <c r="H10" i="1" a="1"/>
  <c r="H10" i="1" s="1"/>
  <c r="I10" i="1" a="1"/>
  <c r="I10" i="1" s="1"/>
  <c r="J10" i="1" a="1"/>
  <c r="J10" i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F11" i="1" a="1"/>
  <c r="F11" i="1" s="1"/>
  <c r="G11" i="1" a="1"/>
  <c r="G11" i="1" s="1"/>
  <c r="H11" i="1" a="1"/>
  <c r="H11" i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V11" i="1" a="1"/>
  <c r="V11" i="1" s="1"/>
  <c r="W11" i="1" a="1"/>
  <c r="W11" i="1" s="1"/>
  <c r="F12" i="1" a="1"/>
  <c r="F12" i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R12" i="1" a="1"/>
  <c r="R12" i="1" s="1"/>
  <c r="S12" i="1" a="1"/>
  <c r="S12" i="1" s="1"/>
  <c r="T12" i="1" a="1"/>
  <c r="T12" i="1" s="1"/>
  <c r="U12" i="1" a="1"/>
  <c r="U12" i="1" s="1"/>
  <c r="V12" i="1" a="1"/>
  <c r="V12" i="1"/>
  <c r="W12" i="1" a="1"/>
  <c r="W12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R13" i="1" a="1"/>
  <c r="R13" i="1" s="1"/>
  <c r="S13" i="1" a="1"/>
  <c r="S13" i="1" s="1"/>
  <c r="T13" i="1" a="1"/>
  <c r="T13" i="1" s="1"/>
  <c r="U13" i="1" a="1"/>
  <c r="U13" i="1" s="1"/>
  <c r="V13" i="1" a="1"/>
  <c r="V13" i="1" s="1"/>
  <c r="W13" i="1" a="1"/>
  <c r="W13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V14" i="1" a="1"/>
  <c r="V14" i="1" s="1"/>
  <c r="W14" i="1" a="1"/>
  <c r="W14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P15" i="1" a="1"/>
  <c r="P15" i="1" s="1"/>
  <c r="Q15" i="1" a="1"/>
  <c r="Q15" i="1" s="1"/>
  <c r="R15" i="1" a="1"/>
  <c r="R15" i="1" s="1"/>
  <c r="S15" i="1" a="1"/>
  <c r="S15" i="1" s="1"/>
  <c r="T15" i="1" a="1"/>
  <c r="T15" i="1" s="1"/>
  <c r="U15" i="1" a="1"/>
  <c r="U15" i="1" s="1"/>
  <c r="V15" i="1" a="1"/>
  <c r="V15" i="1" s="1"/>
  <c r="W15" i="1" a="1"/>
  <c r="W15" i="1" s="1"/>
  <c r="F16" i="1" a="1"/>
  <c r="F16" i="1" s="1"/>
  <c r="G16" i="1" a="1"/>
  <c r="G16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N16" i="1" a="1"/>
  <c r="N16" i="1" s="1"/>
  <c r="O16" i="1" a="1"/>
  <c r="O16" i="1" s="1"/>
  <c r="P16" i="1" a="1"/>
  <c r="P16" i="1" s="1"/>
  <c r="Q16" i="1" a="1"/>
  <c r="Q16" i="1" s="1"/>
  <c r="R16" i="1" a="1"/>
  <c r="R16" i="1" s="1"/>
  <c r="S16" i="1" a="1"/>
  <c r="S16" i="1" s="1"/>
  <c r="T16" i="1" a="1"/>
  <c r="T16" i="1" s="1"/>
  <c r="U16" i="1" a="1"/>
  <c r="U16" i="1" s="1"/>
  <c r="V16" i="1" a="1"/>
  <c r="V16" i="1" s="1"/>
  <c r="W16" i="1" a="1"/>
  <c r="W16" i="1" s="1"/>
  <c r="F17" i="1" a="1"/>
  <c r="F17" i="1" s="1"/>
  <c r="G17" i="1" a="1"/>
  <c r="G17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M17" i="1" a="1"/>
  <c r="M17" i="1" s="1"/>
  <c r="N17" i="1" a="1"/>
  <c r="N17" i="1" s="1"/>
  <c r="O17" i="1" a="1"/>
  <c r="O17" i="1" s="1"/>
  <c r="P17" i="1" a="1"/>
  <c r="P17" i="1" s="1"/>
  <c r="Q17" i="1" a="1"/>
  <c r="Q17" i="1" s="1"/>
  <c r="R17" i="1" a="1"/>
  <c r="R17" i="1" s="1"/>
  <c r="S17" i="1" a="1"/>
  <c r="S17" i="1" s="1"/>
  <c r="T17" i="1" a="1"/>
  <c r="T17" i="1" s="1"/>
  <c r="U17" i="1" a="1"/>
  <c r="U17" i="1" s="1"/>
  <c r="V17" i="1" a="1"/>
  <c r="V17" i="1" s="1"/>
  <c r="W17" i="1" a="1"/>
  <c r="W17" i="1" s="1"/>
  <c r="F18" i="1" a="1"/>
  <c r="F18" i="1" s="1"/>
  <c r="G18" i="1" a="1"/>
  <c r="G18" i="1" s="1"/>
  <c r="H18" i="1" a="1"/>
  <c r="H18" i="1" s="1"/>
  <c r="I18" i="1" a="1"/>
  <c r="I18" i="1" s="1"/>
  <c r="J18" i="1" a="1"/>
  <c r="J18" i="1" s="1"/>
  <c r="K18" i="1" a="1"/>
  <c r="K18" i="1" s="1"/>
  <c r="L18" i="1" a="1"/>
  <c r="L18" i="1" s="1"/>
  <c r="M18" i="1" a="1"/>
  <c r="M18" i="1" s="1"/>
  <c r="N18" i="1" a="1"/>
  <c r="N18" i="1" s="1"/>
  <c r="O18" i="1" a="1"/>
  <c r="O18" i="1" s="1"/>
  <c r="P18" i="1" a="1"/>
  <c r="P18" i="1" s="1"/>
  <c r="Q18" i="1" a="1"/>
  <c r="Q18" i="1" s="1"/>
  <c r="R18" i="1" a="1"/>
  <c r="R18" i="1" s="1"/>
  <c r="S18" i="1" a="1"/>
  <c r="S18" i="1" s="1"/>
  <c r="T18" i="1" a="1"/>
  <c r="T18" i="1" s="1"/>
  <c r="U18" i="1" a="1"/>
  <c r="U18" i="1" s="1"/>
  <c r="V18" i="1" a="1"/>
  <c r="V18" i="1" s="1"/>
  <c r="W18" i="1" a="1"/>
  <c r="W18" i="1" s="1"/>
  <c r="F19" i="1" a="1"/>
  <c r="F19" i="1" s="1"/>
  <c r="G19" i="1" a="1"/>
  <c r="G19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M19" i="1" a="1"/>
  <c r="M19" i="1" s="1"/>
  <c r="N19" i="1" a="1"/>
  <c r="N19" i="1" s="1"/>
  <c r="O19" i="1" a="1"/>
  <c r="O19" i="1" s="1"/>
  <c r="P19" i="1" a="1"/>
  <c r="P19" i="1" s="1"/>
  <c r="Q19" i="1" a="1"/>
  <c r="Q19" i="1" s="1"/>
  <c r="R19" i="1" a="1"/>
  <c r="R19" i="1" s="1"/>
  <c r="S19" i="1" a="1"/>
  <c r="S19" i="1" s="1"/>
  <c r="T19" i="1" a="1"/>
  <c r="T19" i="1" s="1"/>
  <c r="U19" i="1" a="1"/>
  <c r="U19" i="1" s="1"/>
  <c r="V19" i="1" a="1"/>
  <c r="V19" i="1" s="1"/>
  <c r="W19" i="1" a="1"/>
  <c r="W19" i="1" s="1"/>
  <c r="F20" i="1" a="1"/>
  <c r="F20" i="1" s="1"/>
  <c r="G20" i="1" a="1"/>
  <c r="G20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M20" i="1" a="1"/>
  <c r="M20" i="1" s="1"/>
  <c r="N20" i="1" a="1"/>
  <c r="N20" i="1" s="1"/>
  <c r="O20" i="1" a="1"/>
  <c r="O20" i="1" s="1"/>
  <c r="P20" i="1" a="1"/>
  <c r="P20" i="1" s="1"/>
  <c r="Q20" i="1" a="1"/>
  <c r="Q20" i="1" s="1"/>
  <c r="R20" i="1" a="1"/>
  <c r="R20" i="1" s="1"/>
  <c r="S20" i="1" a="1"/>
  <c r="S20" i="1" s="1"/>
  <c r="T20" i="1" a="1"/>
  <c r="T20" i="1" s="1"/>
  <c r="U20" i="1" a="1"/>
  <c r="U20" i="1" s="1"/>
  <c r="V20" i="1" a="1"/>
  <c r="V20" i="1" s="1"/>
  <c r="W20" i="1" a="1"/>
  <c r="W20" i="1" s="1"/>
  <c r="F21" i="1" a="1"/>
  <c r="F21" i="1" s="1"/>
  <c r="G21" i="1" a="1"/>
  <c r="G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V21" i="1" a="1"/>
  <c r="V21" i="1" s="1"/>
  <c r="W21" i="1" a="1"/>
  <c r="W21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F23" i="1" a="1"/>
  <c r="F23" i="1" s="1"/>
  <c r="G23" i="1" a="1"/>
  <c r="G23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M23" i="1" a="1"/>
  <c r="M23" i="1" s="1"/>
  <c r="N23" i="1" a="1"/>
  <c r="N23" i="1" s="1"/>
  <c r="O23" i="1" a="1"/>
  <c r="O23" i="1" s="1"/>
  <c r="P23" i="1" a="1"/>
  <c r="P23" i="1" s="1"/>
  <c r="Q23" i="1" a="1"/>
  <c r="Q23" i="1" s="1"/>
  <c r="R23" i="1" a="1"/>
  <c r="R23" i="1" s="1"/>
  <c r="S23" i="1" a="1"/>
  <c r="S23" i="1" s="1"/>
  <c r="T23" i="1" a="1"/>
  <c r="T23" i="1" s="1"/>
  <c r="U23" i="1" a="1"/>
  <c r="U23" i="1" s="1"/>
  <c r="V23" i="1" a="1"/>
  <c r="V23" i="1" s="1"/>
  <c r="W23" i="1" a="1"/>
  <c r="W23" i="1" s="1"/>
  <c r="F24" i="1" a="1"/>
  <c r="F24" i="1" s="1"/>
  <c r="G24" i="1" a="1"/>
  <c r="G24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M24" i="1" a="1"/>
  <c r="M24" i="1" s="1"/>
  <c r="N24" i="1" a="1"/>
  <c r="N24" i="1" s="1"/>
  <c r="O24" i="1" a="1"/>
  <c r="O24" i="1" s="1"/>
  <c r="P24" i="1" a="1"/>
  <c r="P24" i="1" s="1"/>
  <c r="Q24" i="1" a="1"/>
  <c r="Q24" i="1" s="1"/>
  <c r="R24" i="1" a="1"/>
  <c r="R24" i="1" s="1"/>
  <c r="S24" i="1" a="1"/>
  <c r="S24" i="1" s="1"/>
  <c r="T24" i="1" a="1"/>
  <c r="T24" i="1" s="1"/>
  <c r="U24" i="1" a="1"/>
  <c r="U24" i="1" s="1"/>
  <c r="V24" i="1" a="1"/>
  <c r="V24" i="1" s="1"/>
  <c r="W24" i="1" a="1"/>
  <c r="W24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5" i="1" a="1"/>
  <c r="E5" i="1" s="1"/>
  <c r="M4" i="2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D5" i="1"/>
  <c r="M4" i="1"/>
  <c r="O4" i="1"/>
  <c r="K4" i="1"/>
  <c r="J4" i="1"/>
  <c r="N4" i="1"/>
  <c r="L4" i="1"/>
  <c r="H4" i="1"/>
  <c r="I4" i="1"/>
  <c r="E4" i="1"/>
  <c r="F4" i="1"/>
  <c r="G4" i="1"/>
  <c r="S4" i="1"/>
  <c r="T4" i="1"/>
  <c r="U4" i="1"/>
  <c r="R4" i="1"/>
  <c r="V4" i="1"/>
  <c r="W4" i="1"/>
  <c r="Q4" i="1"/>
  <c r="P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M2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<sst xmlns="http://schemas.openxmlformats.org/spreadsheetml/2006/main" count="252" uniqueCount="86">
  <si>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</si>
  <si>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</si>
  <si>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</si>
  <si>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</si>
  <si>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</si>
  <si>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</si>
  <si>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</si>
  <si>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</si>
  <si>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</si>
  <si>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</si>
  <si>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</si>
  <si>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</si>
  <si>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</si>
  <si>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</si>
  <si>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</si>
  <si>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</si>
  <si>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</si>
  <si>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</si>
  <si>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</si>
  <si>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</si>
  <si>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</si>
  <si>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</si>
  <si>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</si>
  <si>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</si>
  <si>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</si>
  <si>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</si>
  <si>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</si>
  <si>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</si>
  <si>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</si>
  <si>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</si>
  <si>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</si>
  <si>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</si>
  <si>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</si>
  <si>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</si>
  <si>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</si>
  <si>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</si>
  <si>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</si>
  <si>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</si>
  <si>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</si>
  <si>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</si>
  <si>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</si>
  <si>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</si>
  <si>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</si>
  <si>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</si>
  <si>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</si>
  <si>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</si>
  <si>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</si>
  <si>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</si>
  <si>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</si>
  <si>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</si>
  <si>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</si>
  <si>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</si>
  <si>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</si>
  <si>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</si>
  <si>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</si>
  <si>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</si>
  <si>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</si>
  <si>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</si>
  <si>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</si>
  <si>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</si>
  <si>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</si>
  <si>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</si>
  <si>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</si>
  <si>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</si>
  <si>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</si>
  <si>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</si>
  <si>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</si>
  <si>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</si>
  <si>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</si>
  <si>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</si>
  <si>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</si>
  <si>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</si>
  <si>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</si>
  <si>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</si>
  <si>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</si>
  <si>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</si>
  <si>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</si>
  <si>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</si>
  <si>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</si>
  <si>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</si>
  <si>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Continental Forests</t>
  </si>
  <si>
    <t>Warm Ocean</t>
  </si>
  <si>
    <t>Cold Ocean</t>
  </si>
  <si>
    <t>Mangrove Swamp</t>
  </si>
  <si>
    <t>Swampy Marsh</t>
  </si>
  <si>
    <t>Sulfuric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</si>
</sst>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3" borderId="5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f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y Marsh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Swamp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W43"/>
  <sheetViews>
    <sheetView tabSelected="1" zoomScaleNormal="100" workbookViewId="0">
      <selection activeCell="U27" sqref="U27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13.77734375" style="1" bestFit="1" customWidth="1"/>
    <col min="6" max="6" width="14.88671875" style="1" bestFit="1" customWidth="1"/>
    <col min="7" max="7" width="12.6640625" style="1" bestFit="1" customWidth="1"/>
    <col min="8" max="8" width="12" style="1" bestFit="1" customWidth="1"/>
    <col min="9" max="9" width="11.88671875" style="1" bestFit="1" customWidth="1"/>
    <col min="10" max="10" width="13.44140625" style="1" bestFit="1" customWidth="1"/>
    <col min="11" max="11" width="14.88671875" style="1" bestFit="1" customWidth="1"/>
    <col min="12" max="12" width="13.6640625" style="1" bestFit="1" customWidth="1"/>
    <col min="13" max="13" width="17.21875" style="1" bestFit="1" customWidth="1"/>
    <col min="14" max="14" width="11.33203125" style="1" bestFit="1" customWidth="1"/>
    <col min="15" max="15" width="9.88671875" style="1" bestFit="1" customWidth="1"/>
    <col min="16" max="16" width="17" style="1" bestFit="1" customWidth="1"/>
    <col min="17" max="17" width="15.6640625" style="1" bestFit="1" customWidth="1"/>
    <col min="18" max="21" width="10.44140625" style="1" bestFit="1" customWidth="1"/>
    <col min="22" max="22" width="12.88671875" style="1" bestFit="1" customWidth="1"/>
    <col min="23" max="23" width="11.5546875" style="1" bestFit="1" customWidth="1"/>
    <col min="24" max="25" width="10.44140625" style="1" bestFit="1" customWidth="1"/>
    <col min="26" max="16384" width="8.88671875" style="1"/>
  </cols>
  <sheetData>
    <row r="2" spans="1:23" x14ac:dyDescent="0.3">
      <c r="E2" s="9" t="s">
        <v>29</v>
      </c>
      <c r="F2" s="10"/>
      <c r="G2" s="11"/>
      <c r="H2" s="9" t="s">
        <v>35</v>
      </c>
      <c r="I2" s="10"/>
      <c r="J2" s="11"/>
      <c r="K2" s="9" t="s">
        <v>36</v>
      </c>
      <c r="L2" s="10"/>
      <c r="M2" s="11"/>
      <c r="N2" s="9" t="s">
        <v>40</v>
      </c>
      <c r="O2" s="10"/>
      <c r="P2" s="10"/>
      <c r="Q2" s="11"/>
      <c r="R2" s="4" t="s">
        <v>37</v>
      </c>
      <c r="S2" s="9" t="s">
        <v>47</v>
      </c>
      <c r="T2" s="10"/>
      <c r="U2" s="10" t="s">
        <v>46</v>
      </c>
      <c r="V2" s="10"/>
      <c r="W2" s="11"/>
    </row>
    <row r="3" spans="1:23" x14ac:dyDescent="0.3">
      <c r="E3" s="2" t="s">
        <v>77</v>
      </c>
      <c r="F3" s="2" t="s">
        <v>85</v>
      </c>
      <c r="G3" s="2" t="s">
        <v>5</v>
      </c>
      <c r="H3" s="2" t="s">
        <v>78</v>
      </c>
      <c r="I3" s="2" t="s">
        <v>79</v>
      </c>
      <c r="J3" s="2" t="s">
        <v>84</v>
      </c>
      <c r="K3" s="2" t="s">
        <v>83</v>
      </c>
      <c r="L3" s="2" t="s">
        <v>34</v>
      </c>
      <c r="M3" s="2" t="s">
        <v>81</v>
      </c>
      <c r="N3" s="2" t="s">
        <v>82</v>
      </c>
      <c r="O3" s="2" t="s">
        <v>4</v>
      </c>
      <c r="P3" s="2" t="s">
        <v>3</v>
      </c>
      <c r="Q3" s="2" t="s">
        <v>80</v>
      </c>
      <c r="R3" s="2" t="s">
        <v>28</v>
      </c>
      <c r="S3" s="2" t="s">
        <v>75</v>
      </c>
      <c r="T3" s="2" t="s">
        <v>25</v>
      </c>
      <c r="U3" s="2" t="s">
        <v>76</v>
      </c>
      <c r="V3" s="2" t="s">
        <v>27</v>
      </c>
      <c r="W3" s="2" t="s">
        <v>26</v>
      </c>
    </row>
    <row r="4" spans="1:23" x14ac:dyDescent="0.3">
      <c r="A4" s="3" t="s">
        <v>1</v>
      </c>
      <c r="B4" s="3" t="s">
        <v>0</v>
      </c>
      <c r="C4" s="3" t="s">
        <v>2</v>
      </c>
      <c r="D4" s="3" t="s">
        <v>1</v>
      </c>
      <c r="E4" s="2">
        <f>LOOKUP(E3, Sheet2!$F$3:$F$21, Sheet2!$E$3:$E$21)</f>
        <v>12</v>
      </c>
      <c r="F4" s="2">
        <f>LOOKUP(F3, Sheet2!$F$3:$F$21, Sheet2!$E$3:$E$21)</f>
        <v>30</v>
      </c>
      <c r="G4" s="2">
        <f>LOOKUP(G3, Sheet2!$F$3:$F$21, Sheet2!$E$3:$E$21)</f>
        <v>29</v>
      </c>
      <c r="H4" s="2">
        <f>LOOKUP(H3, Sheet2!$F$3:$F$21, Sheet2!$E$3:$E$21)</f>
        <v>10</v>
      </c>
      <c r="I4" s="2">
        <f>LOOKUP(I3, Sheet2!$F$3:$F$21, Sheet2!$E$3:$E$21)</f>
        <v>19</v>
      </c>
      <c r="J4" s="2">
        <f>LOOKUP(J3, Sheet2!$F$3:$F$21, Sheet2!$E$3:$E$21)</f>
        <v>8</v>
      </c>
      <c r="K4" s="2">
        <f>LOOKUP(K3, Sheet2!$F$3:$F$21, Sheet2!$E$3:$E$21)</f>
        <v>27</v>
      </c>
      <c r="L4" s="2">
        <f>LOOKUP(L3, Sheet2!$F$3:$F$21, Sheet2!$E$3:$E$21)</f>
        <v>20</v>
      </c>
      <c r="M4" s="2">
        <f>LOOKUP(M3, Sheet2!$F$3:$F$21, Sheet2!$E$3:$E$21)</f>
        <v>9</v>
      </c>
      <c r="N4" s="2">
        <f>LOOKUP(N3, Sheet2!$F$3:$F$21, Sheet2!$E$3:$E$21)</f>
        <v>23</v>
      </c>
      <c r="O4" s="2">
        <f>LOOKUP(O3, Sheet2!$F$3:$F$21, Sheet2!$E$3:$E$21)</f>
        <v>18</v>
      </c>
      <c r="P4" s="2">
        <f>LOOKUP(P3, Sheet2!$F$3:$F$21, Sheet2!$E$3:$E$21)</f>
        <v>7</v>
      </c>
      <c r="Q4" s="2">
        <f>LOOKUP(Q3, Sheet2!$F$3:$F$21, Sheet2!$E$3:$E$21)</f>
        <v>17</v>
      </c>
      <c r="R4" s="2">
        <f>LOOKUP(R3, Sheet2!$F$3:$F$21, Sheet2!$E$3:$E$21)</f>
        <v>21</v>
      </c>
      <c r="S4" s="2">
        <f>LOOKUP(S3, Sheet2!$F$3:$F$21, Sheet2!$E$3:$E$21)</f>
        <v>11</v>
      </c>
      <c r="T4" s="2">
        <f>LOOKUP(T3, Sheet2!$F$3:$F$21, Sheet2!$E$3:$E$21)</f>
        <v>22</v>
      </c>
      <c r="U4" s="2">
        <f>LOOKUP(U3, Sheet2!$F$3:$F$21, Sheet2!$E$3:$E$21)</f>
        <v>26</v>
      </c>
      <c r="V4" s="2">
        <f>LOOKUP(V3, Sheet2!$F$3:$F$21, Sheet2!$E$3:$E$21)</f>
        <v>25</v>
      </c>
      <c r="W4" s="2">
        <f>LOOKUP(W3, Sheet2!$F$3:$F$21, Sheet2!$E$3:$E$21)</f>
        <v>13</v>
      </c>
    </row>
    <row r="5" spans="1:23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" cm="1">
        <f t="array" ref="E5">ROUND(-_xlfn.XLOOKUP($C5,Biome[[Name]:[Name]],_xlfn.XLOOKUP(E$3,BiomeCompat[#Headers],BiomeCompat[]))/25, 2)</f>
        <v>-0.72</v>
      </c>
      <c r="F5" s="1" cm="1">
        <f t="array" ref="F5">ROUND(-_xlfn.XLOOKUP($C5,Biome[[Name]:[Name]],_xlfn.XLOOKUP(F$3,BiomeCompat[#Headers],BiomeCompat[]))/25, 2)</f>
        <v>-0.72</v>
      </c>
      <c r="G5" s="1" cm="1">
        <f t="array" ref="G5">ROUND(-_xlfn.XLOOKUP($C5,Biome[[Name]:[Name]],_xlfn.XLOOKUP(G$3,BiomeCompat[#Headers],BiomeCompat[]))/25, 2)</f>
        <v>-0.66</v>
      </c>
      <c r="H5" s="1" cm="1">
        <f t="array" ref="H5">ROUND(-_xlfn.XLOOKUP($C5,Biome[[Name]:[Name]],_xlfn.XLOOKUP(H$3,BiomeCompat[#Headers],BiomeCompat[]))/25, 2)</f>
        <v>-0.2</v>
      </c>
      <c r="I5" s="1" cm="1">
        <f t="array" ref="I5">ROUND(-_xlfn.XLOOKUP($C5,Biome[[Name]:[Name]],_xlfn.XLOOKUP(I$3,BiomeCompat[#Headers],BiomeCompat[]))/25, 2)</f>
        <v>-0.2</v>
      </c>
      <c r="J5" s="1" cm="1">
        <f t="array" ref="J5">ROUND(-_xlfn.XLOOKUP($C5,Biome[[Name]:[Name]],_xlfn.XLOOKUP(J$3,BiomeCompat[#Headers],BiomeCompat[]))/25, 2)</f>
        <v>-0.12</v>
      </c>
      <c r="K5" s="1" cm="1">
        <f t="array" ref="K5">ROUND(-_xlfn.XLOOKUP($C5,Biome[[Name]:[Name]],_xlfn.XLOOKUP(K$3,BiomeCompat[#Headers],BiomeCompat[]))/25, 2)</f>
        <v>-0.1</v>
      </c>
      <c r="L5" s="1" cm="1">
        <f t="array" ref="L5">ROUND(-_xlfn.XLOOKUP($C5,Biome[[Name]:[Name]],_xlfn.XLOOKUP(L$3,BiomeCompat[#Headers],BiomeCompat[]))/25, 2)</f>
        <v>-0.16</v>
      </c>
      <c r="M5" s="1" cm="1">
        <f t="array" ref="M5">ROUND(-_xlfn.XLOOKUP($C5,Biome[[Name]:[Name]],_xlfn.XLOOKUP(M$3,BiomeCompat[#Headers],BiomeCompat[]))/25, 2)</f>
        <v>-0.14000000000000001</v>
      </c>
      <c r="N5" s="1" cm="1">
        <f t="array" ref="N5">ROUND(-_xlfn.XLOOKUP($C5,Biome[[Name]:[Name]],_xlfn.XLOOKUP(N$3,BiomeCompat[#Headers],BiomeCompat[]))/25, 2)</f>
        <v>-0.1</v>
      </c>
      <c r="O5" s="1" cm="1">
        <f t="array" ref="O5">ROUND(-_xlfn.XLOOKUP($C5,Biome[[Name]:[Name]],_xlfn.XLOOKUP(O$3,BiomeCompat[#Headers],BiomeCompat[]))/25, 2)</f>
        <v>-0.06</v>
      </c>
      <c r="P5" s="1" cm="1">
        <f t="array" ref="P5">ROUND(-_xlfn.XLOOKUP($C5,Biome[[Name]:[Name]],_xlfn.XLOOKUP(P$3,BiomeCompat[#Headers],BiomeCompat[]))/25, 2)</f>
        <v>0</v>
      </c>
      <c r="Q5" s="1" cm="1">
        <f t="array" ref="Q5">ROUND(-_xlfn.XLOOKUP($C5,Biome[[Name]:[Name]],_xlfn.XLOOKUP(Q$3,BiomeCompat[#Headers],BiomeCompat[]))/25, 2)</f>
        <v>-0.04</v>
      </c>
      <c r="R5" s="1" cm="1">
        <f t="array" ref="R5">ROUND(-_xlfn.XLOOKUP($C5,Biome[[Name]:[Name]],_xlfn.XLOOKUP(R$3,BiomeCompat[#Headers],BiomeCompat[]))/25, 2)</f>
        <v>-0.16</v>
      </c>
      <c r="S5" s="1" cm="1">
        <f t="array" ref="S5">ROUND(-_xlfn.XLOOKUP($C5,Biome[[Name]:[Name]],_xlfn.XLOOKUP(S$3,BiomeCompat[#Headers],BiomeCompat[]))/25, 2)</f>
        <v>-0.18</v>
      </c>
      <c r="T5" s="1" cm="1">
        <f t="array" ref="T5">ROUND(-_xlfn.XLOOKUP($C5,Biome[[Name]:[Name]],_xlfn.XLOOKUP(T$3,BiomeCompat[#Headers],BiomeCompat[]))/25, 2)</f>
        <v>-0.2</v>
      </c>
      <c r="U5" s="1" cm="1">
        <f t="array" ref="U5">ROUND(-_xlfn.XLOOKUP($C5,Biome[[Name]:[Name]],_xlfn.XLOOKUP(U$3,BiomeCompat[#Headers],BiomeCompat[]))/25, 2)</f>
        <v>-1.54</v>
      </c>
      <c r="V5" s="1" cm="1">
        <f t="array" ref="V5">ROUND(-_xlfn.XLOOKUP($C5,Biome[[Name]:[Name]],_xlfn.XLOOKUP(V$3,BiomeCompat[#Headers],BiomeCompat[]))/25, 2)</f>
        <v>-1.64</v>
      </c>
      <c r="W5" s="1" cm="1">
        <f t="array" ref="W5">ROUND(-_xlfn.XLOOKUP($C5,Biome[[Name]:[Name]],_xlfn.XLOOKUP(W$3,BiomeCompat[#Headers],BiomeCompat[]))/25, 2)</f>
        <v>-1.64</v>
      </c>
    </row>
    <row r="6" spans="1:23" x14ac:dyDescent="0.3">
      <c r="A6" s="1">
        <v>1</v>
      </c>
      <c r="B6" s="1" t="s">
        <v>7</v>
      </c>
      <c r="C6" s="1" t="s">
        <v>82</v>
      </c>
      <c r="D6" s="1">
        <f>LOOKUP(C6, Sheet2!F$3:F$21, Sheet2!E$3:E$21)</f>
        <v>23</v>
      </c>
      <c r="E6" s="1" cm="1">
        <f t="array" ref="E6">ROUND(-_xlfn.XLOOKUP($C6,Biome[[Name]:[Name]],_xlfn.XLOOKUP(E$3,BiomeCompat[#Headers],BiomeCompat[]))/25, 2)</f>
        <v>-0.82</v>
      </c>
      <c r="F6" s="1" cm="1">
        <f t="array" ref="F6">ROUND(-_xlfn.XLOOKUP($C6,Biome[[Name]:[Name]],_xlfn.XLOOKUP(F$3,BiomeCompat[#Headers],BiomeCompat[]))/25, 2)</f>
        <v>-0.82</v>
      </c>
      <c r="G6" s="1" cm="1">
        <f t="array" ref="G6">ROUND(-_xlfn.XLOOKUP($C6,Biome[[Name]:[Name]],_xlfn.XLOOKUP(G$3,BiomeCompat[#Headers],BiomeCompat[]))/25, 2)</f>
        <v>-0.76</v>
      </c>
      <c r="H6" s="1" cm="1">
        <f t="array" ref="H6">ROUND(-_xlfn.XLOOKUP($C6,Biome[[Name]:[Name]],_xlfn.XLOOKUP(H$3,BiomeCompat[#Headers],BiomeCompat[]))/25, 2)</f>
        <v>-0.3</v>
      </c>
      <c r="I6" s="1" cm="1">
        <f t="array" ref="I6">ROUND(-_xlfn.XLOOKUP($C6,Biome[[Name]:[Name]],_xlfn.XLOOKUP(I$3,BiomeCompat[#Headers],BiomeCompat[]))/25, 2)</f>
        <v>-0.3</v>
      </c>
      <c r="J6" s="1" cm="1">
        <f t="array" ref="J6">ROUND(-_xlfn.XLOOKUP($C6,Biome[[Name]:[Name]],_xlfn.XLOOKUP(J$3,BiomeCompat[#Headers],BiomeCompat[]))/25, 2)</f>
        <v>-0.18</v>
      </c>
      <c r="K6" s="1" cm="1">
        <f t="array" ref="K6">ROUND(-_xlfn.XLOOKUP($C6,Biome[[Name]:[Name]],_xlfn.XLOOKUP(K$3,BiomeCompat[#Headers],BiomeCompat[]))/25, 2)</f>
        <v>-0.16</v>
      </c>
      <c r="L6" s="1" cm="1">
        <f t="array" ref="L6">ROUND(-_xlfn.XLOOKUP($C6,Biome[[Name]:[Name]],_xlfn.XLOOKUP(L$3,BiomeCompat[#Headers],BiomeCompat[]))/25, 2)</f>
        <v>-0.26</v>
      </c>
      <c r="M6" s="1" cm="1">
        <f t="array" ref="M6">ROUND(-_xlfn.XLOOKUP($C6,Biome[[Name]:[Name]],_xlfn.XLOOKUP(M$3,BiomeCompat[#Headers],BiomeCompat[]))/25, 2)</f>
        <v>-0.04</v>
      </c>
      <c r="N6" s="1" cm="1">
        <f t="array" ref="N6">ROUND(-_xlfn.XLOOKUP($C6,Biome[[Name]:[Name]],_xlfn.XLOOKUP(N$3,BiomeCompat[#Headers],BiomeCompat[]))/25, 2)</f>
        <v>0</v>
      </c>
      <c r="O6" s="1" cm="1">
        <f t="array" ref="O6">ROUND(-_xlfn.XLOOKUP($C6,Biome[[Name]:[Name]],_xlfn.XLOOKUP(O$3,BiomeCompat[#Headers],BiomeCompat[]))/25, 2)</f>
        <v>-0.16</v>
      </c>
      <c r="P6" s="1" cm="1">
        <f t="array" ref="P6">ROUND(-_xlfn.XLOOKUP($C6,Biome[[Name]:[Name]],_xlfn.XLOOKUP(P$3,BiomeCompat[#Headers],BiomeCompat[]))/25, 2)</f>
        <v>-0.1</v>
      </c>
      <c r="Q6" s="1" cm="1">
        <f t="array" ref="Q6">ROUND(-_xlfn.XLOOKUP($C6,Biome[[Name]:[Name]],_xlfn.XLOOKUP(Q$3,BiomeCompat[#Headers],BiomeCompat[]))/25, 2)</f>
        <v>-0.14000000000000001</v>
      </c>
      <c r="R6" s="1" cm="1">
        <f t="array" ref="R6">ROUND(-_xlfn.XLOOKUP($C6,Biome[[Name]:[Name]],_xlfn.XLOOKUP(R$3,BiomeCompat[#Headers],BiomeCompat[]))/25, 2)</f>
        <v>-0.26</v>
      </c>
      <c r="S6" s="1" cm="1">
        <f t="array" ref="S6">ROUND(-_xlfn.XLOOKUP($C6,Biome[[Name]:[Name]],_xlfn.XLOOKUP(S$3,BiomeCompat[#Headers],BiomeCompat[]))/25, 2)</f>
        <v>-0.24</v>
      </c>
      <c r="T6" s="1" cm="1">
        <f t="array" ref="T6">ROUND(-_xlfn.XLOOKUP($C6,Biome[[Name]:[Name]],_xlfn.XLOOKUP(T$3,BiomeCompat[#Headers],BiomeCompat[]))/25, 2)</f>
        <v>-0.3</v>
      </c>
      <c r="U6" s="1" cm="1">
        <f t="array" ref="U6">ROUND(-_xlfn.XLOOKUP($C6,Biome[[Name]:[Name]],_xlfn.XLOOKUP(U$3,BiomeCompat[#Headers],BiomeCompat[]))/25, 2)</f>
        <v>-1.64</v>
      </c>
      <c r="V6" s="1" cm="1">
        <f t="array" ref="V6">ROUND(-_xlfn.XLOOKUP($C6,Biome[[Name]:[Name]],_xlfn.XLOOKUP(V$3,BiomeCompat[#Headers],BiomeCompat[]))/25, 2)</f>
        <v>-1.74</v>
      </c>
      <c r="W6" s="1" cm="1">
        <f t="array" ref="W6">ROUND(-_xlfn.XLOOKUP($C6,Biome[[Name]:[Name]],_xlfn.XLOOKUP(W$3,BiomeCompat[#Headers],BiomeCompat[]))/25, 2)</f>
        <v>-1.74</v>
      </c>
    </row>
    <row r="7" spans="1:23" x14ac:dyDescent="0.3">
      <c r="A7" s="1">
        <v>2</v>
      </c>
      <c r="B7" s="1" t="s">
        <v>8</v>
      </c>
      <c r="C7" s="1" t="s">
        <v>78</v>
      </c>
      <c r="D7" s="1">
        <f>LOOKUP(C7, Sheet2!F$3:F$21, Sheet2!E$3:E$21)</f>
        <v>10</v>
      </c>
      <c r="E7" s="1" cm="1">
        <f t="array" ref="E7">ROUND(-_xlfn.XLOOKUP($C7,Biome[[Name]:[Name]],_xlfn.XLOOKUP(E$3,BiomeCompat[#Headers],BiomeCompat[]))/25, 2)</f>
        <v>-0.52</v>
      </c>
      <c r="F7" s="1" cm="1">
        <f t="array" ref="F7">ROUND(-_xlfn.XLOOKUP($C7,Biome[[Name]:[Name]],_xlfn.XLOOKUP(F$3,BiomeCompat[#Headers],BiomeCompat[]))/25, 2)</f>
        <v>-0.52</v>
      </c>
      <c r="G7" s="1" cm="1">
        <f t="array" ref="G7">ROUND(-_xlfn.XLOOKUP($C7,Biome[[Name]:[Name]],_xlfn.XLOOKUP(G$3,BiomeCompat[#Headers],BiomeCompat[]))/25, 2)</f>
        <v>-0.54</v>
      </c>
      <c r="H7" s="1" cm="1">
        <f t="array" ref="H7">ROUND(-_xlfn.XLOOKUP($C7,Biome[[Name]:[Name]],_xlfn.XLOOKUP(H$3,BiomeCompat[#Headers],BiomeCompat[]))/25, 2)</f>
        <v>0</v>
      </c>
      <c r="I7" s="1" cm="1">
        <f t="array" ref="I7">ROUND(-_xlfn.XLOOKUP($C7,Biome[[Name]:[Name]],_xlfn.XLOOKUP(I$3,BiomeCompat[#Headers],BiomeCompat[]))/25, 2)</f>
        <v>0</v>
      </c>
      <c r="J7" s="1" cm="1">
        <f t="array" ref="J7">ROUND(-_xlfn.XLOOKUP($C7,Biome[[Name]:[Name]],_xlfn.XLOOKUP(J$3,BiomeCompat[#Headers],BiomeCompat[]))/25, 2)</f>
        <v>-0.12</v>
      </c>
      <c r="K7" s="1" cm="1">
        <f t="array" ref="K7">ROUND(-_xlfn.XLOOKUP($C7,Biome[[Name]:[Name]],_xlfn.XLOOKUP(K$3,BiomeCompat[#Headers],BiomeCompat[]))/25, 2)</f>
        <v>-0.14000000000000001</v>
      </c>
      <c r="L7" s="1" cm="1">
        <f t="array" ref="L7">ROUND(-_xlfn.XLOOKUP($C7,Biome[[Name]:[Name]],_xlfn.XLOOKUP(L$3,BiomeCompat[#Headers],BiomeCompat[]))/25, 2)</f>
        <v>-0.04</v>
      </c>
      <c r="M7" s="1" cm="1">
        <f t="array" ref="M7">ROUND(-_xlfn.XLOOKUP($C7,Biome[[Name]:[Name]],_xlfn.XLOOKUP(M$3,BiomeCompat[#Headers],BiomeCompat[]))/25, 2)</f>
        <v>-0.26</v>
      </c>
      <c r="N7" s="1" cm="1">
        <f t="array" ref="N7">ROUND(-_xlfn.XLOOKUP($C7,Biome[[Name]:[Name]],_xlfn.XLOOKUP(N$3,BiomeCompat[#Headers],BiomeCompat[]))/25, 2)</f>
        <v>-0.3</v>
      </c>
      <c r="O7" s="1" cm="1">
        <f t="array" ref="O7">ROUND(-_xlfn.XLOOKUP($C7,Biome[[Name]:[Name]],_xlfn.XLOOKUP(O$3,BiomeCompat[#Headers],BiomeCompat[]))/25, 2)</f>
        <v>-0.14000000000000001</v>
      </c>
      <c r="P7" s="1" cm="1">
        <f t="array" ref="P7">ROUND(-_xlfn.XLOOKUP($C7,Biome[[Name]:[Name]],_xlfn.XLOOKUP(P$3,BiomeCompat[#Headers],BiomeCompat[]))/25, 2)</f>
        <v>-0.2</v>
      </c>
      <c r="Q7" s="1" cm="1">
        <f t="array" ref="Q7">ROUND(-_xlfn.XLOOKUP($C7,Biome[[Name]:[Name]],_xlfn.XLOOKUP(Q$3,BiomeCompat[#Headers],BiomeCompat[]))/25, 2)</f>
        <v>-0.16</v>
      </c>
      <c r="R7" s="1" cm="1">
        <f t="array" ref="R7">ROUND(-_xlfn.XLOOKUP($C7,Biome[[Name]:[Name]],_xlfn.XLOOKUP(R$3,BiomeCompat[#Headers],BiomeCompat[]))/25, 2)</f>
        <v>-0.2</v>
      </c>
      <c r="S7" s="1" cm="1">
        <f t="array" ref="S7">ROUND(-_xlfn.XLOOKUP($C7,Biome[[Name]:[Name]],_xlfn.XLOOKUP(S$3,BiomeCompat[#Headers],BiomeCompat[]))/25, 2)</f>
        <v>-0.3</v>
      </c>
      <c r="T7" s="1" cm="1">
        <f t="array" ref="T7">ROUND(-_xlfn.XLOOKUP($C7,Biome[[Name]:[Name]],_xlfn.XLOOKUP(T$3,BiomeCompat[#Headers],BiomeCompat[]))/25, 2)</f>
        <v>-0.24</v>
      </c>
      <c r="U7" s="1" cm="1">
        <f t="array" ref="U7">ROUND(-_xlfn.XLOOKUP($C7,Biome[[Name]:[Name]],_xlfn.XLOOKUP(U$3,BiomeCompat[#Headers],BiomeCompat[]))/25, 2)</f>
        <v>-1.62</v>
      </c>
      <c r="V7" s="1" cm="1">
        <f t="array" ref="V7">ROUND(-_xlfn.XLOOKUP($C7,Biome[[Name]:[Name]],_xlfn.XLOOKUP(V$3,BiomeCompat[#Headers],BiomeCompat[]))/25, 2)</f>
        <v>-1.6</v>
      </c>
      <c r="W7" s="1" cm="1">
        <f t="array" ref="W7">ROUND(-_xlfn.XLOOKUP($C7,Biome[[Name]:[Name]],_xlfn.XLOOKUP(W$3,BiomeCompat[#Headers],BiomeCompat[]))/25, 2)</f>
        <v>-1.6</v>
      </c>
    </row>
    <row r="8" spans="1:23" x14ac:dyDescent="0.3">
      <c r="A8" s="1">
        <v>3</v>
      </c>
      <c r="B8" s="1" t="s">
        <v>9</v>
      </c>
      <c r="C8" s="1" t="s">
        <v>84</v>
      </c>
      <c r="D8" s="1">
        <f>LOOKUP(C8, Sheet2!F$3:F$21, Sheet2!E$3:E$21)</f>
        <v>8</v>
      </c>
      <c r="E8" s="1" cm="1">
        <f t="array" ref="E8">ROUND(-_xlfn.XLOOKUP($C8,Biome[[Name]:[Name]],_xlfn.XLOOKUP(E$3,BiomeCompat[#Headers],BiomeCompat[]))/25, 2)</f>
        <v>-0.64</v>
      </c>
      <c r="F8" s="1" cm="1">
        <f t="array" ref="F8">ROUND(-_xlfn.XLOOKUP($C8,Biome[[Name]:[Name]],_xlfn.XLOOKUP(F$3,BiomeCompat[#Headers],BiomeCompat[]))/25, 2)</f>
        <v>-0.64</v>
      </c>
      <c r="G8" s="1" cm="1">
        <f t="array" ref="G8">ROUND(-_xlfn.XLOOKUP($C8,Biome[[Name]:[Name]],_xlfn.XLOOKUP(G$3,BiomeCompat[#Headers],BiomeCompat[]))/25, 2)</f>
        <v>-0.57999999999999996</v>
      </c>
      <c r="H8" s="1" cm="1">
        <f t="array" ref="H8">ROUND(-_xlfn.XLOOKUP($C8,Biome[[Name]:[Name]],_xlfn.XLOOKUP(H$3,BiomeCompat[#Headers],BiomeCompat[]))/25, 2)</f>
        <v>-0.12</v>
      </c>
      <c r="I8" s="1" cm="1">
        <f t="array" ref="I8">ROUND(-_xlfn.XLOOKUP($C8,Biome[[Name]:[Name]],_xlfn.XLOOKUP(I$3,BiomeCompat[#Headers],BiomeCompat[]))/25, 2)</f>
        <v>-0.12</v>
      </c>
      <c r="J8" s="1" cm="1">
        <f t="array" ref="J8">ROUND(-_xlfn.XLOOKUP($C8,Biome[[Name]:[Name]],_xlfn.XLOOKUP(J$3,BiomeCompat[#Headers],BiomeCompat[]))/25, 2)</f>
        <v>0</v>
      </c>
      <c r="K8" s="1" cm="1">
        <f t="array" ref="K8">ROUND(-_xlfn.XLOOKUP($C8,Biome[[Name]:[Name]],_xlfn.XLOOKUP(K$3,BiomeCompat[#Headers],BiomeCompat[]))/25, 2)</f>
        <v>-0.06</v>
      </c>
      <c r="L8" s="1" cm="1">
        <f t="array" ref="L8">ROUND(-_xlfn.XLOOKUP($C8,Biome[[Name]:[Name]],_xlfn.XLOOKUP(L$3,BiomeCompat[#Headers],BiomeCompat[]))/25, 2)</f>
        <v>-0.08</v>
      </c>
      <c r="M8" s="1" cm="1">
        <f t="array" ref="M8">ROUND(-_xlfn.XLOOKUP($C8,Biome[[Name]:[Name]],_xlfn.XLOOKUP(M$3,BiomeCompat[#Headers],BiomeCompat[]))/25, 2)</f>
        <v>-0.14000000000000001</v>
      </c>
      <c r="N8" s="1" cm="1">
        <f t="array" ref="N8">ROUND(-_xlfn.XLOOKUP($C8,Biome[[Name]:[Name]],_xlfn.XLOOKUP(N$3,BiomeCompat[#Headers],BiomeCompat[]))/25, 2)</f>
        <v>-0.18</v>
      </c>
      <c r="O8" s="1" cm="1">
        <f t="array" ref="O8">ROUND(-_xlfn.XLOOKUP($C8,Biome[[Name]:[Name]],_xlfn.XLOOKUP(O$3,BiomeCompat[#Headers],BiomeCompat[]))/25, 2)</f>
        <v>-0.14000000000000001</v>
      </c>
      <c r="P8" s="1" cm="1">
        <f t="array" ref="P8">ROUND(-_xlfn.XLOOKUP($C8,Biome[[Name]:[Name]],_xlfn.XLOOKUP(P$3,BiomeCompat[#Headers],BiomeCompat[]))/25, 2)</f>
        <v>-0.12</v>
      </c>
      <c r="Q8" s="1" cm="1">
        <f t="array" ref="Q8">ROUND(-_xlfn.XLOOKUP($C8,Biome[[Name]:[Name]],_xlfn.XLOOKUP(Q$3,BiomeCompat[#Headers],BiomeCompat[]))/25, 2)</f>
        <v>-0.12</v>
      </c>
      <c r="R8" s="1" cm="1">
        <f t="array" ref="R8">ROUND(-_xlfn.XLOOKUP($C8,Biome[[Name]:[Name]],_xlfn.XLOOKUP(R$3,BiomeCompat[#Headers],BiomeCompat[]))/25, 2)</f>
        <v>-0.24</v>
      </c>
      <c r="S8" s="1" cm="1">
        <f t="array" ref="S8">ROUND(-_xlfn.XLOOKUP($C8,Biome[[Name]:[Name]],_xlfn.XLOOKUP(S$3,BiomeCompat[#Headers],BiomeCompat[]))/25, 2)</f>
        <v>-0.22</v>
      </c>
      <c r="T8" s="1" cm="1">
        <f t="array" ref="T8">ROUND(-_xlfn.XLOOKUP($C8,Biome[[Name]:[Name]],_xlfn.XLOOKUP(T$3,BiomeCompat[#Headers],BiomeCompat[]))/25, 2)</f>
        <v>-0.28000000000000003</v>
      </c>
      <c r="U8" s="1" cm="1">
        <f t="array" ref="U8">ROUND(-_xlfn.XLOOKUP($C8,Biome[[Name]:[Name]],_xlfn.XLOOKUP(U$3,BiomeCompat[#Headers],BiomeCompat[]))/25, 2)</f>
        <v>-1.62</v>
      </c>
      <c r="V8" s="1" cm="1">
        <f t="array" ref="V8">ROUND(-_xlfn.XLOOKUP($C8,Biome[[Name]:[Name]],_xlfn.XLOOKUP(V$3,BiomeCompat[#Headers],BiomeCompat[]))/25, 2)</f>
        <v>-1.72</v>
      </c>
      <c r="W8" s="1" cm="1">
        <f t="array" ref="W8">ROUND(-_xlfn.XLOOKUP($C8,Biome[[Name]:[Name]],_xlfn.XLOOKUP(W$3,BiomeCompat[#Headers],BiomeCompat[]))/25, 2)</f>
        <v>-1.72</v>
      </c>
    </row>
    <row r="9" spans="1:23" x14ac:dyDescent="0.3">
      <c r="A9" s="1">
        <v>4</v>
      </c>
      <c r="B9" s="1" t="s">
        <v>10</v>
      </c>
      <c r="C9" s="1" t="s">
        <v>79</v>
      </c>
      <c r="D9" s="1">
        <f>LOOKUP(C9, Sheet2!F$3:F$21, Sheet2!E$3:E$21)</f>
        <v>19</v>
      </c>
      <c r="E9" s="1" cm="1">
        <f t="array" ref="E9">ROUND(-_xlfn.XLOOKUP($C9,Biome[[Name]:[Name]],_xlfn.XLOOKUP(E$3,BiomeCompat[#Headers],BiomeCompat[]))/25, 2)</f>
        <v>-0.52</v>
      </c>
      <c r="F9" s="1" cm="1">
        <f t="array" ref="F9">ROUND(-_xlfn.XLOOKUP($C9,Biome[[Name]:[Name]],_xlfn.XLOOKUP(F$3,BiomeCompat[#Headers],BiomeCompat[]))/25, 2)</f>
        <v>-0.52</v>
      </c>
      <c r="G9" s="1" cm="1">
        <f t="array" ref="G9">ROUND(-_xlfn.XLOOKUP($C9,Biome[[Name]:[Name]],_xlfn.XLOOKUP(G$3,BiomeCompat[#Headers],BiomeCompat[]))/25, 2)</f>
        <v>-0.54</v>
      </c>
      <c r="H9" s="1" cm="1">
        <f t="array" ref="H9">ROUND(-_xlfn.XLOOKUP($C9,Biome[[Name]:[Name]],_xlfn.XLOOKUP(H$3,BiomeCompat[#Headers],BiomeCompat[]))/25, 2)</f>
        <v>0</v>
      </c>
      <c r="I9" s="1" cm="1">
        <f t="array" ref="I9">ROUND(-_xlfn.XLOOKUP($C9,Biome[[Name]:[Name]],_xlfn.XLOOKUP(I$3,BiomeCompat[#Headers],BiomeCompat[]))/25, 2)</f>
        <v>0</v>
      </c>
      <c r="J9" s="1" cm="1">
        <f t="array" ref="J9">ROUND(-_xlfn.XLOOKUP($C9,Biome[[Name]:[Name]],_xlfn.XLOOKUP(J$3,BiomeCompat[#Headers],BiomeCompat[]))/25, 2)</f>
        <v>-0.12</v>
      </c>
      <c r="K9" s="1" cm="1">
        <f t="array" ref="K9">ROUND(-_xlfn.XLOOKUP($C9,Biome[[Name]:[Name]],_xlfn.XLOOKUP(K$3,BiomeCompat[#Headers],BiomeCompat[]))/25, 2)</f>
        <v>-0.14000000000000001</v>
      </c>
      <c r="L9" s="1" cm="1">
        <f t="array" ref="L9">ROUND(-_xlfn.XLOOKUP($C9,Biome[[Name]:[Name]],_xlfn.XLOOKUP(L$3,BiomeCompat[#Headers],BiomeCompat[]))/25, 2)</f>
        <v>-0.04</v>
      </c>
      <c r="M9" s="1" cm="1">
        <f t="array" ref="M9">ROUND(-_xlfn.XLOOKUP($C9,Biome[[Name]:[Name]],_xlfn.XLOOKUP(M$3,BiomeCompat[#Headers],BiomeCompat[]))/25, 2)</f>
        <v>-0.26</v>
      </c>
      <c r="N9" s="1" cm="1">
        <f t="array" ref="N9">ROUND(-_xlfn.XLOOKUP($C9,Biome[[Name]:[Name]],_xlfn.XLOOKUP(N$3,BiomeCompat[#Headers],BiomeCompat[]))/25, 2)</f>
        <v>-0.3</v>
      </c>
      <c r="O9" s="1" cm="1">
        <f t="array" ref="O9">ROUND(-_xlfn.XLOOKUP($C9,Biome[[Name]:[Name]],_xlfn.XLOOKUP(O$3,BiomeCompat[#Headers],BiomeCompat[]))/25, 2)</f>
        <v>-0.14000000000000001</v>
      </c>
      <c r="P9" s="1" cm="1">
        <f t="array" ref="P9">ROUND(-_xlfn.XLOOKUP($C9,Biome[[Name]:[Name]],_xlfn.XLOOKUP(P$3,BiomeCompat[#Headers],BiomeCompat[]))/25, 2)</f>
        <v>-0.2</v>
      </c>
      <c r="Q9" s="1" cm="1">
        <f t="array" ref="Q9">ROUND(-_xlfn.XLOOKUP($C9,Biome[[Name]:[Name]],_xlfn.XLOOKUP(Q$3,BiomeCompat[#Headers],BiomeCompat[]))/25, 2)</f>
        <v>-0.16</v>
      </c>
      <c r="R9" s="1" cm="1">
        <f t="array" ref="R9">ROUND(-_xlfn.XLOOKUP($C9,Biome[[Name]:[Name]],_xlfn.XLOOKUP(R$3,BiomeCompat[#Headers],BiomeCompat[]))/25, 2)</f>
        <v>-0.2</v>
      </c>
      <c r="S9" s="1" cm="1">
        <f t="array" ref="S9">ROUND(-_xlfn.XLOOKUP($C9,Biome[[Name]:[Name]],_xlfn.XLOOKUP(S$3,BiomeCompat[#Headers],BiomeCompat[]))/25, 2)</f>
        <v>-0.3</v>
      </c>
      <c r="T9" s="1" cm="1">
        <f t="array" ref="T9">ROUND(-_xlfn.XLOOKUP($C9,Biome[[Name]:[Name]],_xlfn.XLOOKUP(T$3,BiomeCompat[#Headers],BiomeCompat[]))/25, 2)</f>
        <v>-0.24</v>
      </c>
      <c r="U9" s="1" cm="1">
        <f t="array" ref="U9">ROUND(-_xlfn.XLOOKUP($C9,Biome[[Name]:[Name]],_xlfn.XLOOKUP(U$3,BiomeCompat[#Headers],BiomeCompat[]))/25, 2)</f>
        <v>-1.62</v>
      </c>
      <c r="V9" s="1" cm="1">
        <f t="array" ref="V9">ROUND(-_xlfn.XLOOKUP($C9,Biome[[Name]:[Name]],_xlfn.XLOOKUP(V$3,BiomeCompat[#Headers],BiomeCompat[]))/25, 2)</f>
        <v>-1.6</v>
      </c>
      <c r="W9" s="1" cm="1">
        <f t="array" ref="W9">ROUND(-_xlfn.XLOOKUP($C9,Biome[[Name]:[Name]],_xlfn.XLOOKUP(W$3,BiomeCompat[#Headers],BiomeCompat[]))/25, 2)</f>
        <v>-1.6</v>
      </c>
    </row>
    <row r="10" spans="1:23" x14ac:dyDescent="0.3">
      <c r="A10" s="1">
        <v>5</v>
      </c>
      <c r="B10" s="1" t="s">
        <v>11</v>
      </c>
      <c r="C10" s="1" t="s">
        <v>80</v>
      </c>
      <c r="D10" s="1">
        <f>LOOKUP(C10, Sheet2!F$3:F$21, Sheet2!E$3:E$21)</f>
        <v>17</v>
      </c>
      <c r="E10" s="1" cm="1">
        <f t="array" ref="E10">ROUND(-_xlfn.XLOOKUP($C10,Biome[[Name]:[Name]],_xlfn.XLOOKUP(E$3,BiomeCompat[#Headers],BiomeCompat[]))/25, 2)</f>
        <v>-0.68</v>
      </c>
      <c r="F10" s="1" cm="1">
        <f t="array" ref="F10">ROUND(-_xlfn.XLOOKUP($C10,Biome[[Name]:[Name]],_xlfn.XLOOKUP(F$3,BiomeCompat[#Headers],BiomeCompat[]))/25, 2)</f>
        <v>-0.68</v>
      </c>
      <c r="G10" s="1" cm="1">
        <f t="array" ref="G10">ROUND(-_xlfn.XLOOKUP($C10,Biome[[Name]:[Name]],_xlfn.XLOOKUP(G$3,BiomeCompat[#Headers],BiomeCompat[]))/25, 2)</f>
        <v>-0.62</v>
      </c>
      <c r="H10" s="1" cm="1">
        <f t="array" ref="H10">ROUND(-_xlfn.XLOOKUP($C10,Biome[[Name]:[Name]],_xlfn.XLOOKUP(H$3,BiomeCompat[#Headers],BiomeCompat[]))/25, 2)</f>
        <v>-0.16</v>
      </c>
      <c r="I10" s="1" cm="1">
        <f t="array" ref="I10">ROUND(-_xlfn.XLOOKUP($C10,Biome[[Name]:[Name]],_xlfn.XLOOKUP(I$3,BiomeCompat[#Headers],BiomeCompat[]))/25, 2)</f>
        <v>-0.16</v>
      </c>
      <c r="J10" s="1" cm="1">
        <f t="array" ref="J10">ROUND(-_xlfn.XLOOKUP($C10,Biome[[Name]:[Name]],_xlfn.XLOOKUP(J$3,BiomeCompat[#Headers],BiomeCompat[]))/25, 2)</f>
        <v>-0.12</v>
      </c>
      <c r="K10" s="1" cm="1">
        <f t="array" ref="K10">ROUND(-_xlfn.XLOOKUP($C10,Biome[[Name]:[Name]],_xlfn.XLOOKUP(K$3,BiomeCompat[#Headers],BiomeCompat[]))/25, 2)</f>
        <v>-0.06</v>
      </c>
      <c r="L10" s="1" cm="1">
        <f t="array" ref="L10">ROUND(-_xlfn.XLOOKUP($C10,Biome[[Name]:[Name]],_xlfn.XLOOKUP(L$3,BiomeCompat[#Headers],BiomeCompat[]))/25, 2)</f>
        <v>-0.12</v>
      </c>
      <c r="M10" s="1" cm="1">
        <f t="array" ref="M10">ROUND(-_xlfn.XLOOKUP($C10,Biome[[Name]:[Name]],_xlfn.XLOOKUP(M$3,BiomeCompat[#Headers],BiomeCompat[]))/25, 2)</f>
        <v>-0.18</v>
      </c>
      <c r="N10" s="1" cm="1">
        <f t="array" ref="N10">ROUND(-_xlfn.XLOOKUP($C10,Biome[[Name]:[Name]],_xlfn.XLOOKUP(N$3,BiomeCompat[#Headers],BiomeCompat[]))/25, 2)</f>
        <v>-0.14000000000000001</v>
      </c>
      <c r="O10" s="1" cm="1">
        <f t="array" ref="O10">ROUND(-_xlfn.XLOOKUP($C10,Biome[[Name]:[Name]],_xlfn.XLOOKUP(O$3,BiomeCompat[#Headers],BiomeCompat[]))/25, 2)</f>
        <v>-0.02</v>
      </c>
      <c r="P10" s="1" cm="1">
        <f t="array" ref="P10">ROUND(-_xlfn.XLOOKUP($C10,Biome[[Name]:[Name]],_xlfn.XLOOKUP(P$3,BiomeCompat[#Headers],BiomeCompat[]))/25, 2)</f>
        <v>-0.04</v>
      </c>
      <c r="Q10" s="1" cm="1">
        <f t="array" ref="Q10">ROUND(-_xlfn.XLOOKUP($C10,Biome[[Name]:[Name]],_xlfn.XLOOKUP(Q$3,BiomeCompat[#Headers],BiomeCompat[]))/25, 2)</f>
        <v>0</v>
      </c>
      <c r="R10" s="1" cm="1">
        <f t="array" ref="R10">ROUND(-_xlfn.XLOOKUP($C10,Biome[[Name]:[Name]],_xlfn.XLOOKUP(R$3,BiomeCompat[#Headers],BiomeCompat[]))/25, 2)</f>
        <v>-0.12</v>
      </c>
      <c r="S10" s="1" cm="1">
        <f t="array" ref="S10">ROUND(-_xlfn.XLOOKUP($C10,Biome[[Name]:[Name]],_xlfn.XLOOKUP(S$3,BiomeCompat[#Headers],BiomeCompat[]))/25, 2)</f>
        <v>-0.14000000000000001</v>
      </c>
      <c r="T10" s="1" cm="1">
        <f t="array" ref="T10">ROUND(-_xlfn.XLOOKUP($C10,Biome[[Name]:[Name]],_xlfn.XLOOKUP(T$3,BiomeCompat[#Headers],BiomeCompat[]))/25, 2)</f>
        <v>-0.16</v>
      </c>
      <c r="U10" s="1" cm="1">
        <f t="array" ref="U10">ROUND(-_xlfn.XLOOKUP($C10,Biome[[Name]:[Name]],_xlfn.XLOOKUP(U$3,BiomeCompat[#Headers],BiomeCompat[]))/25, 2)</f>
        <v>-1.54</v>
      </c>
      <c r="V10" s="1" cm="1">
        <f t="array" ref="V10">ROUND(-_xlfn.XLOOKUP($C10,Biome[[Name]:[Name]],_xlfn.XLOOKUP(V$3,BiomeCompat[#Headers],BiomeCompat[]))/25, 2)</f>
        <v>-1.6</v>
      </c>
      <c r="W10" s="1" cm="1">
        <f t="array" ref="W10">ROUND(-_xlfn.XLOOKUP($C10,Biome[[Name]:[Name]],_xlfn.XLOOKUP(W$3,BiomeCompat[#Headers],BiomeCompat[]))/25, 2)</f>
        <v>-1.6</v>
      </c>
    </row>
    <row r="11" spans="1:23" x14ac:dyDescent="0.3">
      <c r="A11" s="1">
        <v>6</v>
      </c>
      <c r="B11" s="1" t="s">
        <v>12</v>
      </c>
      <c r="C11" s="1" t="s">
        <v>77</v>
      </c>
      <c r="D11" s="1">
        <f>LOOKUP(C11, Sheet2!F$3:F$21, Sheet2!E$3:E$21)</f>
        <v>12</v>
      </c>
      <c r="E11" s="1" cm="1">
        <f t="array" ref="E11">ROUND(-_xlfn.XLOOKUP($C11,Biome[[Name]:[Name]],_xlfn.XLOOKUP(E$3,BiomeCompat[#Headers],BiomeCompat[]))/25, 2)</f>
        <v>0</v>
      </c>
      <c r="F11" s="1" cm="1">
        <f t="array" ref="F11">ROUND(-_xlfn.XLOOKUP($C11,Biome[[Name]:[Name]],_xlfn.XLOOKUP(F$3,BiomeCompat[#Headers],BiomeCompat[]))/25, 2)</f>
        <v>0</v>
      </c>
      <c r="G11" s="1" cm="1">
        <f t="array" ref="G11">ROUND(-_xlfn.XLOOKUP($C11,Biome[[Name]:[Name]],_xlfn.XLOOKUP(G$3,BiomeCompat[#Headers],BiomeCompat[]))/25, 2)</f>
        <v>-0.06</v>
      </c>
      <c r="H11" s="1" cm="1">
        <f t="array" ref="H11">ROUND(-_xlfn.XLOOKUP($C11,Biome[[Name]:[Name]],_xlfn.XLOOKUP(H$3,BiomeCompat[#Headers],BiomeCompat[]))/25, 2)</f>
        <v>-0.52</v>
      </c>
      <c r="I11" s="1" cm="1">
        <f t="array" ref="I11">ROUND(-_xlfn.XLOOKUP($C11,Biome[[Name]:[Name]],_xlfn.XLOOKUP(I$3,BiomeCompat[#Headers],BiomeCompat[]))/25, 2)</f>
        <v>-0.52</v>
      </c>
      <c r="J11" s="1" cm="1">
        <f t="array" ref="J11">ROUND(-_xlfn.XLOOKUP($C11,Biome[[Name]:[Name]],_xlfn.XLOOKUP(J$3,BiomeCompat[#Headers],BiomeCompat[]))/25, 2)</f>
        <v>-0.64</v>
      </c>
      <c r="K11" s="1" cm="1">
        <f t="array" ref="K11">ROUND(-_xlfn.XLOOKUP($C11,Biome[[Name]:[Name]],_xlfn.XLOOKUP(K$3,BiomeCompat[#Headers],BiomeCompat[]))/25, 2)</f>
        <v>-0.66</v>
      </c>
      <c r="L11" s="1" cm="1">
        <f t="array" ref="L11">ROUND(-_xlfn.XLOOKUP($C11,Biome[[Name]:[Name]],_xlfn.XLOOKUP(L$3,BiomeCompat[#Headers],BiomeCompat[]))/25, 2)</f>
        <v>-0.56000000000000005</v>
      </c>
      <c r="M11" s="1" cm="1">
        <f t="array" ref="M11">ROUND(-_xlfn.XLOOKUP($C11,Biome[[Name]:[Name]],_xlfn.XLOOKUP(M$3,BiomeCompat[#Headers],BiomeCompat[]))/25, 2)</f>
        <v>-0.78</v>
      </c>
      <c r="N11" s="1" cm="1">
        <f t="array" ref="N11">ROUND(-_xlfn.XLOOKUP($C11,Biome[[Name]:[Name]],_xlfn.XLOOKUP(N$3,BiomeCompat[#Headers],BiomeCompat[]))/25, 2)</f>
        <v>-0.82</v>
      </c>
      <c r="O11" s="1" cm="1">
        <f t="array" ref="O11">ROUND(-_xlfn.XLOOKUP($C11,Biome[[Name]:[Name]],_xlfn.XLOOKUP(O$3,BiomeCompat[#Headers],BiomeCompat[]))/25, 2)</f>
        <v>-0.66</v>
      </c>
      <c r="P11" s="1" cm="1">
        <f t="array" ref="P11">ROUND(-_xlfn.XLOOKUP($C11,Biome[[Name]:[Name]],_xlfn.XLOOKUP(P$3,BiomeCompat[#Headers],BiomeCompat[]))/25, 2)</f>
        <v>-0.72</v>
      </c>
      <c r="Q11" s="1" cm="1">
        <f t="array" ref="Q11">ROUND(-_xlfn.XLOOKUP($C11,Biome[[Name]:[Name]],_xlfn.XLOOKUP(Q$3,BiomeCompat[#Headers],BiomeCompat[]))/25, 2)</f>
        <v>-0.68</v>
      </c>
      <c r="R11" s="1" cm="1">
        <f t="array" ref="R11">ROUND(-_xlfn.XLOOKUP($C11,Biome[[Name]:[Name]],_xlfn.XLOOKUP(R$3,BiomeCompat[#Headers],BiomeCompat[]))/25, 2)</f>
        <v>-0.72</v>
      </c>
      <c r="S11" s="1" cm="1">
        <f t="array" ref="S11">ROUND(-_xlfn.XLOOKUP($C11,Biome[[Name]:[Name]],_xlfn.XLOOKUP(S$3,BiomeCompat[#Headers],BiomeCompat[]))/25, 2)</f>
        <v>-0.82</v>
      </c>
      <c r="T11" s="1" cm="1">
        <f t="array" ref="T11">ROUND(-_xlfn.XLOOKUP($C11,Biome[[Name]:[Name]],_xlfn.XLOOKUP(T$3,BiomeCompat[#Headers],BiomeCompat[]))/25, 2)</f>
        <v>-0.76</v>
      </c>
      <c r="U11" s="1" cm="1">
        <f t="array" ref="U11">ROUND(-_xlfn.XLOOKUP($C11,Biome[[Name]:[Name]],_xlfn.XLOOKUP(U$3,BiomeCompat[#Headers],BiomeCompat[]))/25, 2)</f>
        <v>-1.34</v>
      </c>
      <c r="V11" s="1" cm="1">
        <f t="array" ref="V11">ROUND(-_xlfn.XLOOKUP($C11,Biome[[Name]:[Name]],_xlfn.XLOOKUP(V$3,BiomeCompat[#Headers],BiomeCompat[]))/25, 2)</f>
        <v>-1.24</v>
      </c>
      <c r="W11" s="1" cm="1">
        <f t="array" ref="W11">ROUND(-_xlfn.XLOOKUP($C11,Biome[[Name]:[Name]],_xlfn.XLOOKUP(W$3,BiomeCompat[#Headers],BiomeCompat[]))/25, 2)</f>
        <v>-1.24</v>
      </c>
    </row>
    <row r="12" spans="1:23" x14ac:dyDescent="0.3">
      <c r="A12" s="1">
        <v>7</v>
      </c>
      <c r="B12" s="1" t="s">
        <v>32</v>
      </c>
      <c r="C12" s="1" t="s">
        <v>75</v>
      </c>
      <c r="D12" s="1">
        <f>LOOKUP(C12, Sheet2!F$3:F$21, Sheet2!E$3:E$21)</f>
        <v>11</v>
      </c>
      <c r="E12" s="1" cm="1">
        <f t="array" ref="E12">ROUND(-_xlfn.XLOOKUP($C12,Biome[[Name]:[Name]],_xlfn.XLOOKUP(E$3,BiomeCompat[#Headers],BiomeCompat[]))/25, 2)</f>
        <v>-0.82</v>
      </c>
      <c r="F12" s="1" cm="1">
        <f t="array" ref="F12">ROUND(-_xlfn.XLOOKUP($C12,Biome[[Name]:[Name]],_xlfn.XLOOKUP(F$3,BiomeCompat[#Headers],BiomeCompat[]))/25, 2)</f>
        <v>-0.82</v>
      </c>
      <c r="G12" s="1" cm="1">
        <f t="array" ref="G12">ROUND(-_xlfn.XLOOKUP($C12,Biome[[Name]:[Name]],_xlfn.XLOOKUP(G$3,BiomeCompat[#Headers],BiomeCompat[]))/25, 2)</f>
        <v>-0.76</v>
      </c>
      <c r="H12" s="1" cm="1">
        <f t="array" ref="H12">ROUND(-_xlfn.XLOOKUP($C12,Biome[[Name]:[Name]],_xlfn.XLOOKUP(H$3,BiomeCompat[#Headers],BiomeCompat[]))/25, 2)</f>
        <v>-0.3</v>
      </c>
      <c r="I12" s="1" cm="1">
        <f t="array" ref="I12">ROUND(-_xlfn.XLOOKUP($C12,Biome[[Name]:[Name]],_xlfn.XLOOKUP(I$3,BiomeCompat[#Headers],BiomeCompat[]))/25, 2)</f>
        <v>-0.3</v>
      </c>
      <c r="J12" s="1" cm="1">
        <f t="array" ref="J12">ROUND(-_xlfn.XLOOKUP($C12,Biome[[Name]:[Name]],_xlfn.XLOOKUP(J$3,BiomeCompat[#Headers],BiomeCompat[]))/25, 2)</f>
        <v>-0.22</v>
      </c>
      <c r="K12" s="1" cm="1">
        <f t="array" ref="K12">ROUND(-_xlfn.XLOOKUP($C12,Biome[[Name]:[Name]],_xlfn.XLOOKUP(K$3,BiomeCompat[#Headers],BiomeCompat[]))/25, 2)</f>
        <v>-0.16</v>
      </c>
      <c r="L12" s="1" cm="1">
        <f t="array" ref="L12">ROUND(-_xlfn.XLOOKUP($C12,Biome[[Name]:[Name]],_xlfn.XLOOKUP(L$3,BiomeCompat[#Headers],BiomeCompat[]))/25, 2)</f>
        <v>-0.26</v>
      </c>
      <c r="M12" s="1" cm="1">
        <f t="array" ref="M12">ROUND(-_xlfn.XLOOKUP($C12,Biome[[Name]:[Name]],_xlfn.XLOOKUP(M$3,BiomeCompat[#Headers],BiomeCompat[]))/25, 2)</f>
        <v>-0.28000000000000003</v>
      </c>
      <c r="N12" s="1" cm="1">
        <f t="array" ref="N12">ROUND(-_xlfn.XLOOKUP($C12,Biome[[Name]:[Name]],_xlfn.XLOOKUP(N$3,BiomeCompat[#Headers],BiomeCompat[]))/25, 2)</f>
        <v>-0.24</v>
      </c>
      <c r="O12" s="1" cm="1">
        <f t="array" ref="O12">ROUND(-_xlfn.XLOOKUP($C12,Biome[[Name]:[Name]],_xlfn.XLOOKUP(O$3,BiomeCompat[#Headers],BiomeCompat[]))/25, 2)</f>
        <v>-0.16</v>
      </c>
      <c r="P12" s="1" cm="1">
        <f t="array" ref="P12">ROUND(-_xlfn.XLOOKUP($C12,Biome[[Name]:[Name]],_xlfn.XLOOKUP(P$3,BiomeCompat[#Headers],BiomeCompat[]))/25, 2)</f>
        <v>-0.18</v>
      </c>
      <c r="Q12" s="1" cm="1">
        <f t="array" ref="Q12">ROUND(-_xlfn.XLOOKUP($C12,Biome[[Name]:[Name]],_xlfn.XLOOKUP(Q$3,BiomeCompat[#Headers],BiomeCompat[]))/25, 2)</f>
        <v>-0.14000000000000001</v>
      </c>
      <c r="R12" s="1" cm="1">
        <f t="array" ref="R12">ROUND(-_xlfn.XLOOKUP($C12,Biome[[Name]:[Name]],_xlfn.XLOOKUP(R$3,BiomeCompat[#Headers],BiomeCompat[]))/25, 2)</f>
        <v>-0.1</v>
      </c>
      <c r="S12" s="1" cm="1">
        <f t="array" ref="S12">ROUND(-_xlfn.XLOOKUP($C12,Biome[[Name]:[Name]],_xlfn.XLOOKUP(S$3,BiomeCompat[#Headers],BiomeCompat[]))/25, 2)</f>
        <v>0</v>
      </c>
      <c r="T12" s="1" cm="1">
        <f t="array" ref="T12">ROUND(-_xlfn.XLOOKUP($C12,Biome[[Name]:[Name]],_xlfn.XLOOKUP(T$3,BiomeCompat[#Headers],BiomeCompat[]))/25, 2)</f>
        <v>-0.06</v>
      </c>
      <c r="U12" s="1" cm="1">
        <f t="array" ref="U12">ROUND(-_xlfn.XLOOKUP($C12,Biome[[Name]:[Name]],_xlfn.XLOOKUP(U$3,BiomeCompat[#Headers],BiomeCompat[]))/25, 2)</f>
        <v>-1.44</v>
      </c>
      <c r="V12" s="1" cm="1">
        <f t="array" ref="V12">ROUND(-_xlfn.XLOOKUP($C12,Biome[[Name]:[Name]],_xlfn.XLOOKUP(V$3,BiomeCompat[#Headers],BiomeCompat[]))/25, 2)</f>
        <v>-1.5</v>
      </c>
      <c r="W12" s="1" cm="1">
        <f t="array" ref="W12">ROUND(-_xlfn.XLOOKUP($C12,Biome[[Name]:[Name]],_xlfn.XLOOKUP(W$3,BiomeCompat[#Headers],BiomeCompat[]))/25, 2)</f>
        <v>-1.5</v>
      </c>
    </row>
    <row r="13" spans="1:23" x14ac:dyDescent="0.3">
      <c r="A13" s="1">
        <v>8</v>
      </c>
      <c r="B13" s="1" t="s">
        <v>13</v>
      </c>
      <c r="C13" s="1" t="s">
        <v>82</v>
      </c>
      <c r="D13" s="1">
        <f>LOOKUP(C13, Sheet2!F$3:F$21, Sheet2!E$3:E$21)</f>
        <v>23</v>
      </c>
      <c r="E13" s="1" cm="1">
        <f t="array" ref="E13">ROUND(-_xlfn.XLOOKUP($C13,Biome[[Name]:[Name]],_xlfn.XLOOKUP(E$3,BiomeCompat[#Headers],BiomeCompat[]))/25, 2)</f>
        <v>-0.82</v>
      </c>
      <c r="F13" s="1" cm="1">
        <f t="array" ref="F13">ROUND(-_xlfn.XLOOKUP($C13,Biome[[Name]:[Name]],_xlfn.XLOOKUP(F$3,BiomeCompat[#Headers],BiomeCompat[]))/25, 2)</f>
        <v>-0.82</v>
      </c>
      <c r="G13" s="1" cm="1">
        <f t="array" ref="G13">ROUND(-_xlfn.XLOOKUP($C13,Biome[[Name]:[Name]],_xlfn.XLOOKUP(G$3,BiomeCompat[#Headers],BiomeCompat[]))/25, 2)</f>
        <v>-0.76</v>
      </c>
      <c r="H13" s="1" cm="1">
        <f t="array" ref="H13">ROUND(-_xlfn.XLOOKUP($C13,Biome[[Name]:[Name]],_xlfn.XLOOKUP(H$3,BiomeCompat[#Headers],BiomeCompat[]))/25, 2)</f>
        <v>-0.3</v>
      </c>
      <c r="I13" s="1" cm="1">
        <f t="array" ref="I13">ROUND(-_xlfn.XLOOKUP($C13,Biome[[Name]:[Name]],_xlfn.XLOOKUP(I$3,BiomeCompat[#Headers],BiomeCompat[]))/25, 2)</f>
        <v>-0.3</v>
      </c>
      <c r="J13" s="1" cm="1">
        <f t="array" ref="J13">ROUND(-_xlfn.XLOOKUP($C13,Biome[[Name]:[Name]],_xlfn.XLOOKUP(J$3,BiomeCompat[#Headers],BiomeCompat[]))/25, 2)</f>
        <v>-0.18</v>
      </c>
      <c r="K13" s="1" cm="1">
        <f t="array" ref="K13">ROUND(-_xlfn.XLOOKUP($C13,Biome[[Name]:[Name]],_xlfn.XLOOKUP(K$3,BiomeCompat[#Headers],BiomeCompat[]))/25, 2)</f>
        <v>-0.16</v>
      </c>
      <c r="L13" s="1" cm="1">
        <f t="array" ref="L13">ROUND(-_xlfn.XLOOKUP($C13,Biome[[Name]:[Name]],_xlfn.XLOOKUP(L$3,BiomeCompat[#Headers],BiomeCompat[]))/25, 2)</f>
        <v>-0.26</v>
      </c>
      <c r="M13" s="1" cm="1">
        <f t="array" ref="M13">ROUND(-_xlfn.XLOOKUP($C13,Biome[[Name]:[Name]],_xlfn.XLOOKUP(M$3,BiomeCompat[#Headers],BiomeCompat[]))/25, 2)</f>
        <v>-0.04</v>
      </c>
      <c r="N13" s="1" cm="1">
        <f t="array" ref="N13">ROUND(-_xlfn.XLOOKUP($C13,Biome[[Name]:[Name]],_xlfn.XLOOKUP(N$3,BiomeCompat[#Headers],BiomeCompat[]))/25, 2)</f>
        <v>0</v>
      </c>
      <c r="O13" s="1" cm="1">
        <f t="array" ref="O13">ROUND(-_xlfn.XLOOKUP($C13,Biome[[Name]:[Name]],_xlfn.XLOOKUP(O$3,BiomeCompat[#Headers],BiomeCompat[]))/25, 2)</f>
        <v>-0.16</v>
      </c>
      <c r="P13" s="1" cm="1">
        <f t="array" ref="P13">ROUND(-_xlfn.XLOOKUP($C13,Biome[[Name]:[Name]],_xlfn.XLOOKUP(P$3,BiomeCompat[#Headers],BiomeCompat[]))/25, 2)</f>
        <v>-0.1</v>
      </c>
      <c r="Q13" s="1" cm="1">
        <f t="array" ref="Q13">ROUND(-_xlfn.XLOOKUP($C13,Biome[[Name]:[Name]],_xlfn.XLOOKUP(Q$3,BiomeCompat[#Headers],BiomeCompat[]))/25, 2)</f>
        <v>-0.14000000000000001</v>
      </c>
      <c r="R13" s="1" cm="1">
        <f t="array" ref="R13">ROUND(-_xlfn.XLOOKUP($C13,Biome[[Name]:[Name]],_xlfn.XLOOKUP(R$3,BiomeCompat[#Headers],BiomeCompat[]))/25, 2)</f>
        <v>-0.26</v>
      </c>
      <c r="S13" s="1" cm="1">
        <f t="array" ref="S13">ROUND(-_xlfn.XLOOKUP($C13,Biome[[Name]:[Name]],_xlfn.XLOOKUP(S$3,BiomeCompat[#Headers],BiomeCompat[]))/25, 2)</f>
        <v>-0.24</v>
      </c>
      <c r="T13" s="1" cm="1">
        <f t="array" ref="T13">ROUND(-_xlfn.XLOOKUP($C13,Biome[[Name]:[Name]],_xlfn.XLOOKUP(T$3,BiomeCompat[#Headers],BiomeCompat[]))/25, 2)</f>
        <v>-0.3</v>
      </c>
      <c r="U13" s="1" cm="1">
        <f t="array" ref="U13">ROUND(-_xlfn.XLOOKUP($C13,Biome[[Name]:[Name]],_xlfn.XLOOKUP(U$3,BiomeCompat[#Headers],BiomeCompat[]))/25, 2)</f>
        <v>-1.64</v>
      </c>
      <c r="V13" s="1" cm="1">
        <f t="array" ref="V13">ROUND(-_xlfn.XLOOKUP($C13,Biome[[Name]:[Name]],_xlfn.XLOOKUP(V$3,BiomeCompat[#Headers],BiomeCompat[]))/25, 2)</f>
        <v>-1.74</v>
      </c>
      <c r="W13" s="1" cm="1">
        <f t="array" ref="W13">ROUND(-_xlfn.XLOOKUP($C13,Biome[[Name]:[Name]],_xlfn.XLOOKUP(W$3,BiomeCompat[#Headers],BiomeCompat[]))/25, 2)</f>
        <v>-1.74</v>
      </c>
    </row>
    <row r="14" spans="1:23" x14ac:dyDescent="0.3">
      <c r="A14" s="1">
        <v>9</v>
      </c>
      <c r="B14" s="1" t="s">
        <v>14</v>
      </c>
      <c r="C14" s="1" t="s">
        <v>80</v>
      </c>
      <c r="D14" s="1">
        <f>LOOKUP(C14, Sheet2!F$3:F$21, Sheet2!E$3:E$21)</f>
        <v>17</v>
      </c>
      <c r="E14" s="1" cm="1">
        <f t="array" ref="E14">ROUND(-_xlfn.XLOOKUP($C14,Biome[[Name]:[Name]],_xlfn.XLOOKUP(E$3,BiomeCompat[#Headers],BiomeCompat[]))/25, 2)</f>
        <v>-0.68</v>
      </c>
      <c r="F14" s="1" cm="1">
        <f t="array" ref="F14">ROUND(-_xlfn.XLOOKUP($C14,Biome[[Name]:[Name]],_xlfn.XLOOKUP(F$3,BiomeCompat[#Headers],BiomeCompat[]))/25, 2)</f>
        <v>-0.68</v>
      </c>
      <c r="G14" s="1" cm="1">
        <f t="array" ref="G14">ROUND(-_xlfn.XLOOKUP($C14,Biome[[Name]:[Name]],_xlfn.XLOOKUP(G$3,BiomeCompat[#Headers],BiomeCompat[]))/25, 2)</f>
        <v>-0.62</v>
      </c>
      <c r="H14" s="1" cm="1">
        <f t="array" ref="H14">ROUND(-_xlfn.XLOOKUP($C14,Biome[[Name]:[Name]],_xlfn.XLOOKUP(H$3,BiomeCompat[#Headers],BiomeCompat[]))/25, 2)</f>
        <v>-0.16</v>
      </c>
      <c r="I14" s="1" cm="1">
        <f t="array" ref="I14">ROUND(-_xlfn.XLOOKUP($C14,Biome[[Name]:[Name]],_xlfn.XLOOKUP(I$3,BiomeCompat[#Headers],BiomeCompat[]))/25, 2)</f>
        <v>-0.16</v>
      </c>
      <c r="J14" s="1" cm="1">
        <f t="array" ref="J14">ROUND(-_xlfn.XLOOKUP($C14,Biome[[Name]:[Name]],_xlfn.XLOOKUP(J$3,BiomeCompat[#Headers],BiomeCompat[]))/25, 2)</f>
        <v>-0.12</v>
      </c>
      <c r="K14" s="1" cm="1">
        <f t="array" ref="K14">ROUND(-_xlfn.XLOOKUP($C14,Biome[[Name]:[Name]],_xlfn.XLOOKUP(K$3,BiomeCompat[#Headers],BiomeCompat[]))/25, 2)</f>
        <v>-0.06</v>
      </c>
      <c r="L14" s="1" cm="1">
        <f t="array" ref="L14">ROUND(-_xlfn.XLOOKUP($C14,Biome[[Name]:[Name]],_xlfn.XLOOKUP(L$3,BiomeCompat[#Headers],BiomeCompat[]))/25, 2)</f>
        <v>-0.12</v>
      </c>
      <c r="M14" s="1" cm="1">
        <f t="array" ref="M14">ROUND(-_xlfn.XLOOKUP($C14,Biome[[Name]:[Name]],_xlfn.XLOOKUP(M$3,BiomeCompat[#Headers],BiomeCompat[]))/25, 2)</f>
        <v>-0.18</v>
      </c>
      <c r="N14" s="1" cm="1">
        <f t="array" ref="N14">ROUND(-_xlfn.XLOOKUP($C14,Biome[[Name]:[Name]],_xlfn.XLOOKUP(N$3,BiomeCompat[#Headers],BiomeCompat[]))/25, 2)</f>
        <v>-0.14000000000000001</v>
      </c>
      <c r="O14" s="1" cm="1">
        <f t="array" ref="O14">ROUND(-_xlfn.XLOOKUP($C14,Biome[[Name]:[Name]],_xlfn.XLOOKUP(O$3,BiomeCompat[#Headers],BiomeCompat[]))/25, 2)</f>
        <v>-0.02</v>
      </c>
      <c r="P14" s="1" cm="1">
        <f t="array" ref="P14">ROUND(-_xlfn.XLOOKUP($C14,Biome[[Name]:[Name]],_xlfn.XLOOKUP(P$3,BiomeCompat[#Headers],BiomeCompat[]))/25, 2)</f>
        <v>-0.04</v>
      </c>
      <c r="Q14" s="1" cm="1">
        <f t="array" ref="Q14">ROUND(-_xlfn.XLOOKUP($C14,Biome[[Name]:[Name]],_xlfn.XLOOKUP(Q$3,BiomeCompat[#Headers],BiomeCompat[]))/25, 2)</f>
        <v>0</v>
      </c>
      <c r="R14" s="1" cm="1">
        <f t="array" ref="R14">ROUND(-_xlfn.XLOOKUP($C14,Biome[[Name]:[Name]],_xlfn.XLOOKUP(R$3,BiomeCompat[#Headers],BiomeCompat[]))/25, 2)</f>
        <v>-0.12</v>
      </c>
      <c r="S14" s="1" cm="1">
        <f t="array" ref="S14">ROUND(-_xlfn.XLOOKUP($C14,Biome[[Name]:[Name]],_xlfn.XLOOKUP(S$3,BiomeCompat[#Headers],BiomeCompat[]))/25, 2)</f>
        <v>-0.14000000000000001</v>
      </c>
      <c r="T14" s="1" cm="1">
        <f t="array" ref="T14">ROUND(-_xlfn.XLOOKUP($C14,Biome[[Name]:[Name]],_xlfn.XLOOKUP(T$3,BiomeCompat[#Headers],BiomeCompat[]))/25, 2)</f>
        <v>-0.16</v>
      </c>
      <c r="U14" s="1" cm="1">
        <f t="array" ref="U14">ROUND(-_xlfn.XLOOKUP($C14,Biome[[Name]:[Name]],_xlfn.XLOOKUP(U$3,BiomeCompat[#Headers],BiomeCompat[]))/25, 2)</f>
        <v>-1.54</v>
      </c>
      <c r="V14" s="1" cm="1">
        <f t="array" ref="V14">ROUND(-_xlfn.XLOOKUP($C14,Biome[[Name]:[Name]],_xlfn.XLOOKUP(V$3,BiomeCompat[#Headers],BiomeCompat[]))/25, 2)</f>
        <v>-1.6</v>
      </c>
      <c r="W14" s="1" cm="1">
        <f t="array" ref="W14">ROUND(-_xlfn.XLOOKUP($C14,Biome[[Name]:[Name]],_xlfn.XLOOKUP(W$3,BiomeCompat[#Headers],BiomeCompat[]))/25, 2)</f>
        <v>-1.6</v>
      </c>
    </row>
    <row r="15" spans="1:23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" cm="1">
        <f t="array" ref="E15">ROUND(-_xlfn.XLOOKUP($C15,Biome[[Name]:[Name]],_xlfn.XLOOKUP(E$3,BiomeCompat[#Headers],BiomeCompat[]))/25, 2)</f>
        <v>-0.56000000000000005</v>
      </c>
      <c r="F15" s="1" cm="1">
        <f t="array" ref="F15">ROUND(-_xlfn.XLOOKUP($C15,Biome[[Name]:[Name]],_xlfn.XLOOKUP(F$3,BiomeCompat[#Headers],BiomeCompat[]))/25, 2)</f>
        <v>-0.56000000000000005</v>
      </c>
      <c r="G15" s="1" cm="1">
        <f t="array" ref="G15">ROUND(-_xlfn.XLOOKUP($C15,Biome[[Name]:[Name]],_xlfn.XLOOKUP(G$3,BiomeCompat[#Headers],BiomeCompat[]))/25, 2)</f>
        <v>-0.54</v>
      </c>
      <c r="H15" s="1" cm="1">
        <f t="array" ref="H15">ROUND(-_xlfn.XLOOKUP($C15,Biome[[Name]:[Name]],_xlfn.XLOOKUP(H$3,BiomeCompat[#Headers],BiomeCompat[]))/25, 2)</f>
        <v>-0.04</v>
      </c>
      <c r="I15" s="1" cm="1">
        <f t="array" ref="I15">ROUND(-_xlfn.XLOOKUP($C15,Biome[[Name]:[Name]],_xlfn.XLOOKUP(I$3,BiomeCompat[#Headers],BiomeCompat[]))/25, 2)</f>
        <v>-0.04</v>
      </c>
      <c r="J15" s="1" cm="1">
        <f t="array" ref="J15">ROUND(-_xlfn.XLOOKUP($C15,Biome[[Name]:[Name]],_xlfn.XLOOKUP(J$3,BiomeCompat[#Headers],BiomeCompat[]))/25, 2)</f>
        <v>-0.08</v>
      </c>
      <c r="K15" s="1" cm="1">
        <f t="array" ref="K15">ROUND(-_xlfn.XLOOKUP($C15,Biome[[Name]:[Name]],_xlfn.XLOOKUP(K$3,BiomeCompat[#Headers],BiomeCompat[]))/25, 2)</f>
        <v>-0.1</v>
      </c>
      <c r="L15" s="1" cm="1">
        <f t="array" ref="L15">ROUND(-_xlfn.XLOOKUP($C15,Biome[[Name]:[Name]],_xlfn.XLOOKUP(L$3,BiomeCompat[#Headers],BiomeCompat[]))/25, 2)</f>
        <v>0</v>
      </c>
      <c r="M15" s="1" cm="1">
        <f t="array" ref="M15">ROUND(-_xlfn.XLOOKUP($C15,Biome[[Name]:[Name]],_xlfn.XLOOKUP(M$3,BiomeCompat[#Headers],BiomeCompat[]))/25, 2)</f>
        <v>-0.22</v>
      </c>
      <c r="N15" s="1" cm="1">
        <f t="array" ref="N15">ROUND(-_xlfn.XLOOKUP($C15,Biome[[Name]:[Name]],_xlfn.XLOOKUP(N$3,BiomeCompat[#Headers],BiomeCompat[]))/25, 2)</f>
        <v>-0.26</v>
      </c>
      <c r="O15" s="1" cm="1">
        <f t="array" ref="O15">ROUND(-_xlfn.XLOOKUP($C15,Biome[[Name]:[Name]],_xlfn.XLOOKUP(O$3,BiomeCompat[#Headers],BiomeCompat[]))/25, 2)</f>
        <v>-0.1</v>
      </c>
      <c r="P15" s="1" cm="1">
        <f t="array" ref="P15">ROUND(-_xlfn.XLOOKUP($C15,Biome[[Name]:[Name]],_xlfn.XLOOKUP(P$3,BiomeCompat[#Headers],BiomeCompat[]))/25, 2)</f>
        <v>-0.16</v>
      </c>
      <c r="Q15" s="1" cm="1">
        <f t="array" ref="Q15">ROUND(-_xlfn.XLOOKUP($C15,Biome[[Name]:[Name]],_xlfn.XLOOKUP(Q$3,BiomeCompat[#Headers],BiomeCompat[]))/25, 2)</f>
        <v>-0.12</v>
      </c>
      <c r="R15" s="1" cm="1">
        <f t="array" ref="R15">ROUND(-_xlfn.XLOOKUP($C15,Biome[[Name]:[Name]],_xlfn.XLOOKUP(R$3,BiomeCompat[#Headers],BiomeCompat[]))/25, 2)</f>
        <v>-0.16</v>
      </c>
      <c r="S15" s="1" cm="1">
        <f t="array" ref="S15">ROUND(-_xlfn.XLOOKUP($C15,Biome[[Name]:[Name]],_xlfn.XLOOKUP(S$3,BiomeCompat[#Headers],BiomeCompat[]))/25, 2)</f>
        <v>-0.26</v>
      </c>
      <c r="T15" s="1" cm="1">
        <f t="array" ref="T15">ROUND(-_xlfn.XLOOKUP($C15,Biome[[Name]:[Name]],_xlfn.XLOOKUP(T$3,BiomeCompat[#Headers],BiomeCompat[]))/25, 2)</f>
        <v>-0.24</v>
      </c>
      <c r="U15" s="1" cm="1">
        <f t="array" ref="U15">ROUND(-_xlfn.XLOOKUP($C15,Biome[[Name]:[Name]],_xlfn.XLOOKUP(U$3,BiomeCompat[#Headers],BiomeCompat[]))/25, 2)</f>
        <v>-1.62</v>
      </c>
      <c r="V15" s="1" cm="1">
        <f t="array" ref="V15">ROUND(-_xlfn.XLOOKUP($C15,Biome[[Name]:[Name]],_xlfn.XLOOKUP(V$3,BiomeCompat[#Headers],BiomeCompat[]))/25, 2)</f>
        <v>-1.64</v>
      </c>
      <c r="W15" s="1" cm="1">
        <f t="array" ref="W15">ROUND(-_xlfn.XLOOKUP($C15,Biome[[Name]:[Name]],_xlfn.XLOOKUP(W$3,BiomeCompat[#Headers],BiomeCompat[]))/25, 2)</f>
        <v>-1.64</v>
      </c>
    </row>
    <row r="16" spans="1:23" x14ac:dyDescent="0.3">
      <c r="A16" s="1">
        <v>11</v>
      </c>
      <c r="B16" s="1" t="s">
        <v>16</v>
      </c>
      <c r="C16" s="1" t="s">
        <v>79</v>
      </c>
      <c r="D16" s="1">
        <f>LOOKUP(C16, Sheet2!F$3:F$21, Sheet2!E$3:E$21)</f>
        <v>19</v>
      </c>
      <c r="E16" s="1" cm="1">
        <f t="array" ref="E16">ROUND(-_xlfn.XLOOKUP($C16,Biome[[Name]:[Name]],_xlfn.XLOOKUP(E$3,BiomeCompat[#Headers],BiomeCompat[]))/25, 2)</f>
        <v>-0.52</v>
      </c>
      <c r="F16" s="1" cm="1">
        <f t="array" ref="F16">ROUND(-_xlfn.XLOOKUP($C16,Biome[[Name]:[Name]],_xlfn.XLOOKUP(F$3,BiomeCompat[#Headers],BiomeCompat[]))/25, 2)</f>
        <v>-0.52</v>
      </c>
      <c r="G16" s="1" cm="1">
        <f t="array" ref="G16">ROUND(-_xlfn.XLOOKUP($C16,Biome[[Name]:[Name]],_xlfn.XLOOKUP(G$3,BiomeCompat[#Headers],BiomeCompat[]))/25, 2)</f>
        <v>-0.54</v>
      </c>
      <c r="H16" s="1" cm="1">
        <f t="array" ref="H16">ROUND(-_xlfn.XLOOKUP($C16,Biome[[Name]:[Name]],_xlfn.XLOOKUP(H$3,BiomeCompat[#Headers],BiomeCompat[]))/25, 2)</f>
        <v>0</v>
      </c>
      <c r="I16" s="1" cm="1">
        <f t="array" ref="I16">ROUND(-_xlfn.XLOOKUP($C16,Biome[[Name]:[Name]],_xlfn.XLOOKUP(I$3,BiomeCompat[#Headers],BiomeCompat[]))/25, 2)</f>
        <v>0</v>
      </c>
      <c r="J16" s="1" cm="1">
        <f t="array" ref="J16">ROUND(-_xlfn.XLOOKUP($C16,Biome[[Name]:[Name]],_xlfn.XLOOKUP(J$3,BiomeCompat[#Headers],BiomeCompat[]))/25, 2)</f>
        <v>-0.12</v>
      </c>
      <c r="K16" s="1" cm="1">
        <f t="array" ref="K16">ROUND(-_xlfn.XLOOKUP($C16,Biome[[Name]:[Name]],_xlfn.XLOOKUP(K$3,BiomeCompat[#Headers],BiomeCompat[]))/25, 2)</f>
        <v>-0.14000000000000001</v>
      </c>
      <c r="L16" s="1" cm="1">
        <f t="array" ref="L16">ROUND(-_xlfn.XLOOKUP($C16,Biome[[Name]:[Name]],_xlfn.XLOOKUP(L$3,BiomeCompat[#Headers],BiomeCompat[]))/25, 2)</f>
        <v>-0.04</v>
      </c>
      <c r="M16" s="1" cm="1">
        <f t="array" ref="M16">ROUND(-_xlfn.XLOOKUP($C16,Biome[[Name]:[Name]],_xlfn.XLOOKUP(M$3,BiomeCompat[#Headers],BiomeCompat[]))/25, 2)</f>
        <v>-0.26</v>
      </c>
      <c r="N16" s="1" cm="1">
        <f t="array" ref="N16">ROUND(-_xlfn.XLOOKUP($C16,Biome[[Name]:[Name]],_xlfn.XLOOKUP(N$3,BiomeCompat[#Headers],BiomeCompat[]))/25, 2)</f>
        <v>-0.3</v>
      </c>
      <c r="O16" s="1" cm="1">
        <f t="array" ref="O16">ROUND(-_xlfn.XLOOKUP($C16,Biome[[Name]:[Name]],_xlfn.XLOOKUP(O$3,BiomeCompat[#Headers],BiomeCompat[]))/25, 2)</f>
        <v>-0.14000000000000001</v>
      </c>
      <c r="P16" s="1" cm="1">
        <f t="array" ref="P16">ROUND(-_xlfn.XLOOKUP($C16,Biome[[Name]:[Name]],_xlfn.XLOOKUP(P$3,BiomeCompat[#Headers],BiomeCompat[]))/25, 2)</f>
        <v>-0.2</v>
      </c>
      <c r="Q16" s="1" cm="1">
        <f t="array" ref="Q16">ROUND(-_xlfn.XLOOKUP($C16,Biome[[Name]:[Name]],_xlfn.XLOOKUP(Q$3,BiomeCompat[#Headers],BiomeCompat[]))/25, 2)</f>
        <v>-0.16</v>
      </c>
      <c r="R16" s="1" cm="1">
        <f t="array" ref="R16">ROUND(-_xlfn.XLOOKUP($C16,Biome[[Name]:[Name]],_xlfn.XLOOKUP(R$3,BiomeCompat[#Headers],BiomeCompat[]))/25, 2)</f>
        <v>-0.2</v>
      </c>
      <c r="S16" s="1" cm="1">
        <f t="array" ref="S16">ROUND(-_xlfn.XLOOKUP($C16,Biome[[Name]:[Name]],_xlfn.XLOOKUP(S$3,BiomeCompat[#Headers],BiomeCompat[]))/25, 2)</f>
        <v>-0.3</v>
      </c>
      <c r="T16" s="1" cm="1">
        <f t="array" ref="T16">ROUND(-_xlfn.XLOOKUP($C16,Biome[[Name]:[Name]],_xlfn.XLOOKUP(T$3,BiomeCompat[#Headers],BiomeCompat[]))/25, 2)</f>
        <v>-0.24</v>
      </c>
      <c r="U16" s="1" cm="1">
        <f t="array" ref="U16">ROUND(-_xlfn.XLOOKUP($C16,Biome[[Name]:[Name]],_xlfn.XLOOKUP(U$3,BiomeCompat[#Headers],BiomeCompat[]))/25, 2)</f>
        <v>-1.62</v>
      </c>
      <c r="V16" s="1" cm="1">
        <f t="array" ref="V16">ROUND(-_xlfn.XLOOKUP($C16,Biome[[Name]:[Name]],_xlfn.XLOOKUP(V$3,BiomeCompat[#Headers],BiomeCompat[]))/25, 2)</f>
        <v>-1.6</v>
      </c>
      <c r="W16" s="1" cm="1">
        <f t="array" ref="W16">ROUND(-_xlfn.XLOOKUP($C16,Biome[[Name]:[Name]],_xlfn.XLOOKUP(W$3,BiomeCompat[#Headers],BiomeCompat[]))/25, 2)</f>
        <v>-1.6</v>
      </c>
    </row>
    <row r="17" spans="1:23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" cm="1">
        <f t="array" ref="E17">ROUND(-_xlfn.XLOOKUP($C17,Biome[[Name]:[Name]],_xlfn.XLOOKUP(E$3,BiomeCompat[#Headers],BiomeCompat[]))/25, 2)</f>
        <v>-0.66</v>
      </c>
      <c r="F17" s="1" cm="1">
        <f t="array" ref="F17">ROUND(-_xlfn.XLOOKUP($C17,Biome[[Name]:[Name]],_xlfn.XLOOKUP(F$3,BiomeCompat[#Headers],BiomeCompat[]))/25, 2)</f>
        <v>-0.66</v>
      </c>
      <c r="G17" s="1" cm="1">
        <f t="array" ref="G17">ROUND(-_xlfn.XLOOKUP($C17,Biome[[Name]:[Name]],_xlfn.XLOOKUP(G$3,BiomeCompat[#Headers],BiomeCompat[]))/25, 2)</f>
        <v>-0.6</v>
      </c>
      <c r="H17" s="1" cm="1">
        <f t="array" ref="H17">ROUND(-_xlfn.XLOOKUP($C17,Biome[[Name]:[Name]],_xlfn.XLOOKUP(H$3,BiomeCompat[#Headers],BiomeCompat[]))/25, 2)</f>
        <v>-0.14000000000000001</v>
      </c>
      <c r="I17" s="1" cm="1">
        <f t="array" ref="I17">ROUND(-_xlfn.XLOOKUP($C17,Biome[[Name]:[Name]],_xlfn.XLOOKUP(I$3,BiomeCompat[#Headers],BiomeCompat[]))/25, 2)</f>
        <v>-0.14000000000000001</v>
      </c>
      <c r="J17" s="1" cm="1">
        <f t="array" ref="J17">ROUND(-_xlfn.XLOOKUP($C17,Biome[[Name]:[Name]],_xlfn.XLOOKUP(J$3,BiomeCompat[#Headers],BiomeCompat[]))/25, 2)</f>
        <v>-0.14000000000000001</v>
      </c>
      <c r="K17" s="1" cm="1">
        <f t="array" ref="K17">ROUND(-_xlfn.XLOOKUP($C17,Biome[[Name]:[Name]],_xlfn.XLOOKUP(K$3,BiomeCompat[#Headers],BiomeCompat[]))/25, 2)</f>
        <v>-0.08</v>
      </c>
      <c r="L17" s="1" cm="1">
        <f t="array" ref="L17">ROUND(-_xlfn.XLOOKUP($C17,Biome[[Name]:[Name]],_xlfn.XLOOKUP(L$3,BiomeCompat[#Headers],BiomeCompat[]))/25, 2)</f>
        <v>-0.1</v>
      </c>
      <c r="M17" s="1" cm="1">
        <f t="array" ref="M17">ROUND(-_xlfn.XLOOKUP($C17,Biome[[Name]:[Name]],_xlfn.XLOOKUP(M$3,BiomeCompat[#Headers],BiomeCompat[]))/25, 2)</f>
        <v>-0.2</v>
      </c>
      <c r="N17" s="1" cm="1">
        <f t="array" ref="N17">ROUND(-_xlfn.XLOOKUP($C17,Biome[[Name]:[Name]],_xlfn.XLOOKUP(N$3,BiomeCompat[#Headers],BiomeCompat[]))/25, 2)</f>
        <v>-0.16</v>
      </c>
      <c r="O17" s="1" cm="1">
        <f t="array" ref="O17">ROUND(-_xlfn.XLOOKUP($C17,Biome[[Name]:[Name]],_xlfn.XLOOKUP(O$3,BiomeCompat[#Headers],BiomeCompat[]))/25, 2)</f>
        <v>0</v>
      </c>
      <c r="P17" s="1" cm="1">
        <f t="array" ref="P17">ROUND(-_xlfn.XLOOKUP($C17,Biome[[Name]:[Name]],_xlfn.XLOOKUP(P$3,BiomeCompat[#Headers],BiomeCompat[]))/25, 2)</f>
        <v>-0.06</v>
      </c>
      <c r="Q17" s="1" cm="1">
        <f t="array" ref="Q17">ROUND(-_xlfn.XLOOKUP($C17,Biome[[Name]:[Name]],_xlfn.XLOOKUP(Q$3,BiomeCompat[#Headers],BiomeCompat[]))/25, 2)</f>
        <v>-0.02</v>
      </c>
      <c r="R17" s="1" cm="1">
        <f t="array" ref="R17">ROUND(-_xlfn.XLOOKUP($C17,Biome[[Name]:[Name]],_xlfn.XLOOKUP(R$3,BiomeCompat[#Headers],BiomeCompat[]))/25, 2)</f>
        <v>-0.1</v>
      </c>
      <c r="S17" s="1" cm="1">
        <f t="array" ref="S17">ROUND(-_xlfn.XLOOKUP($C17,Biome[[Name]:[Name]],_xlfn.XLOOKUP(S$3,BiomeCompat[#Headers],BiomeCompat[]))/25, 2)</f>
        <v>-0.16</v>
      </c>
      <c r="T17" s="1" cm="1">
        <f t="array" ref="T17">ROUND(-_xlfn.XLOOKUP($C17,Biome[[Name]:[Name]],_xlfn.XLOOKUP(T$3,BiomeCompat[#Headers],BiomeCompat[]))/25, 2)</f>
        <v>-0.18</v>
      </c>
      <c r="U17" s="1" cm="1">
        <f t="array" ref="U17">ROUND(-_xlfn.XLOOKUP($C17,Biome[[Name]:[Name]],_xlfn.XLOOKUP(U$3,BiomeCompat[#Headers],BiomeCompat[]))/25, 2)</f>
        <v>-1.56</v>
      </c>
      <c r="V17" s="1" cm="1">
        <f t="array" ref="V17">ROUND(-_xlfn.XLOOKUP($C17,Biome[[Name]:[Name]],_xlfn.XLOOKUP(V$3,BiomeCompat[#Headers],BiomeCompat[]))/25, 2)</f>
        <v>-1.58</v>
      </c>
      <c r="W17" s="1" cm="1">
        <f t="array" ref="W17">ROUND(-_xlfn.XLOOKUP($C17,Biome[[Name]:[Name]],_xlfn.XLOOKUP(W$3,BiomeCompat[#Headers],BiomeCompat[]))/25, 2)</f>
        <v>-1.58</v>
      </c>
    </row>
    <row r="18" spans="1:23" x14ac:dyDescent="0.3">
      <c r="A18" s="1">
        <v>13</v>
      </c>
      <c r="B18" s="1" t="s">
        <v>18</v>
      </c>
      <c r="C18" s="1" t="s">
        <v>80</v>
      </c>
      <c r="D18" s="1">
        <f>LOOKUP(C18, Sheet2!F$3:F$21, Sheet2!E$3:E$21)</f>
        <v>17</v>
      </c>
      <c r="E18" s="1" cm="1">
        <f t="array" ref="E18">ROUND(-_xlfn.XLOOKUP($C18,Biome[[Name]:[Name]],_xlfn.XLOOKUP(E$3,BiomeCompat[#Headers],BiomeCompat[]))/25, 2)</f>
        <v>-0.68</v>
      </c>
      <c r="F18" s="1" cm="1">
        <f t="array" ref="F18">ROUND(-_xlfn.XLOOKUP($C18,Biome[[Name]:[Name]],_xlfn.XLOOKUP(F$3,BiomeCompat[#Headers],BiomeCompat[]))/25, 2)</f>
        <v>-0.68</v>
      </c>
      <c r="G18" s="1" cm="1">
        <f t="array" ref="G18">ROUND(-_xlfn.XLOOKUP($C18,Biome[[Name]:[Name]],_xlfn.XLOOKUP(G$3,BiomeCompat[#Headers],BiomeCompat[]))/25, 2)</f>
        <v>-0.62</v>
      </c>
      <c r="H18" s="1" cm="1">
        <f t="array" ref="H18">ROUND(-_xlfn.XLOOKUP($C18,Biome[[Name]:[Name]],_xlfn.XLOOKUP(H$3,BiomeCompat[#Headers],BiomeCompat[]))/25, 2)</f>
        <v>-0.16</v>
      </c>
      <c r="I18" s="1" cm="1">
        <f t="array" ref="I18">ROUND(-_xlfn.XLOOKUP($C18,Biome[[Name]:[Name]],_xlfn.XLOOKUP(I$3,BiomeCompat[#Headers],BiomeCompat[]))/25, 2)</f>
        <v>-0.16</v>
      </c>
      <c r="J18" s="1" cm="1">
        <f t="array" ref="J18">ROUND(-_xlfn.XLOOKUP($C18,Biome[[Name]:[Name]],_xlfn.XLOOKUP(J$3,BiomeCompat[#Headers],BiomeCompat[]))/25, 2)</f>
        <v>-0.12</v>
      </c>
      <c r="K18" s="1" cm="1">
        <f t="array" ref="K18">ROUND(-_xlfn.XLOOKUP($C18,Biome[[Name]:[Name]],_xlfn.XLOOKUP(K$3,BiomeCompat[#Headers],BiomeCompat[]))/25, 2)</f>
        <v>-0.06</v>
      </c>
      <c r="L18" s="1" cm="1">
        <f t="array" ref="L18">ROUND(-_xlfn.XLOOKUP($C18,Biome[[Name]:[Name]],_xlfn.XLOOKUP(L$3,BiomeCompat[#Headers],BiomeCompat[]))/25, 2)</f>
        <v>-0.12</v>
      </c>
      <c r="M18" s="1" cm="1">
        <f t="array" ref="M18">ROUND(-_xlfn.XLOOKUP($C18,Biome[[Name]:[Name]],_xlfn.XLOOKUP(M$3,BiomeCompat[#Headers],BiomeCompat[]))/25, 2)</f>
        <v>-0.18</v>
      </c>
      <c r="N18" s="1" cm="1">
        <f t="array" ref="N18">ROUND(-_xlfn.XLOOKUP($C18,Biome[[Name]:[Name]],_xlfn.XLOOKUP(N$3,BiomeCompat[#Headers],BiomeCompat[]))/25, 2)</f>
        <v>-0.14000000000000001</v>
      </c>
      <c r="O18" s="1" cm="1">
        <f t="array" ref="O18">ROUND(-_xlfn.XLOOKUP($C18,Biome[[Name]:[Name]],_xlfn.XLOOKUP(O$3,BiomeCompat[#Headers],BiomeCompat[]))/25, 2)</f>
        <v>-0.02</v>
      </c>
      <c r="P18" s="1" cm="1">
        <f t="array" ref="P18">ROUND(-_xlfn.XLOOKUP($C18,Biome[[Name]:[Name]],_xlfn.XLOOKUP(P$3,BiomeCompat[#Headers],BiomeCompat[]))/25, 2)</f>
        <v>-0.04</v>
      </c>
      <c r="Q18" s="1" cm="1">
        <f t="array" ref="Q18">ROUND(-_xlfn.XLOOKUP($C18,Biome[[Name]:[Name]],_xlfn.XLOOKUP(Q$3,BiomeCompat[#Headers],BiomeCompat[]))/25, 2)</f>
        <v>0</v>
      </c>
      <c r="R18" s="1" cm="1">
        <f t="array" ref="R18">ROUND(-_xlfn.XLOOKUP($C18,Biome[[Name]:[Name]],_xlfn.XLOOKUP(R$3,BiomeCompat[#Headers],BiomeCompat[]))/25, 2)</f>
        <v>-0.12</v>
      </c>
      <c r="S18" s="1" cm="1">
        <f t="array" ref="S18">ROUND(-_xlfn.XLOOKUP($C18,Biome[[Name]:[Name]],_xlfn.XLOOKUP(S$3,BiomeCompat[#Headers],BiomeCompat[]))/25, 2)</f>
        <v>-0.14000000000000001</v>
      </c>
      <c r="T18" s="1" cm="1">
        <f t="array" ref="T18">ROUND(-_xlfn.XLOOKUP($C18,Biome[[Name]:[Name]],_xlfn.XLOOKUP(T$3,BiomeCompat[#Headers],BiomeCompat[]))/25, 2)</f>
        <v>-0.16</v>
      </c>
      <c r="U18" s="1" cm="1">
        <f t="array" ref="U18">ROUND(-_xlfn.XLOOKUP($C18,Biome[[Name]:[Name]],_xlfn.XLOOKUP(U$3,BiomeCompat[#Headers],BiomeCompat[]))/25, 2)</f>
        <v>-1.54</v>
      </c>
      <c r="V18" s="1" cm="1">
        <f t="array" ref="V18">ROUND(-_xlfn.XLOOKUP($C18,Biome[[Name]:[Name]],_xlfn.XLOOKUP(V$3,BiomeCompat[#Headers],BiomeCompat[]))/25, 2)</f>
        <v>-1.6</v>
      </c>
      <c r="W18" s="1" cm="1">
        <f t="array" ref="W18">ROUND(-_xlfn.XLOOKUP($C18,Biome[[Name]:[Name]],_xlfn.XLOOKUP(W$3,BiomeCompat[#Headers],BiomeCompat[]))/25, 2)</f>
        <v>-1.6</v>
      </c>
    </row>
    <row r="19" spans="1:23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" cm="1">
        <f t="array" ref="E19">ROUND(-_xlfn.XLOOKUP($C19,Biome[[Name]:[Name]],_xlfn.XLOOKUP(E$3,BiomeCompat[#Headers],BiomeCompat[]))/25, 2)</f>
        <v>-0.72</v>
      </c>
      <c r="F19" s="1" cm="1">
        <f t="array" ref="F19">ROUND(-_xlfn.XLOOKUP($C19,Biome[[Name]:[Name]],_xlfn.XLOOKUP(F$3,BiomeCompat[#Headers],BiomeCompat[]))/25, 2)</f>
        <v>-0.72</v>
      </c>
      <c r="G19" s="1" cm="1">
        <f t="array" ref="G19">ROUND(-_xlfn.XLOOKUP($C19,Biome[[Name]:[Name]],_xlfn.XLOOKUP(G$3,BiomeCompat[#Headers],BiomeCompat[]))/25, 2)</f>
        <v>-0.7</v>
      </c>
      <c r="H19" s="1" cm="1">
        <f t="array" ref="H19">ROUND(-_xlfn.XLOOKUP($C19,Biome[[Name]:[Name]],_xlfn.XLOOKUP(H$3,BiomeCompat[#Headers],BiomeCompat[]))/25, 2)</f>
        <v>-0.2</v>
      </c>
      <c r="I19" s="1" cm="1">
        <f t="array" ref="I19">ROUND(-_xlfn.XLOOKUP($C19,Biome[[Name]:[Name]],_xlfn.XLOOKUP(I$3,BiomeCompat[#Headers],BiomeCompat[]))/25, 2)</f>
        <v>-0.2</v>
      </c>
      <c r="J19" s="1" cm="1">
        <f t="array" ref="J19">ROUND(-_xlfn.XLOOKUP($C19,Biome[[Name]:[Name]],_xlfn.XLOOKUP(J$3,BiomeCompat[#Headers],BiomeCompat[]))/25, 2)</f>
        <v>-0.24</v>
      </c>
      <c r="K19" s="1" cm="1">
        <f t="array" ref="K19">ROUND(-_xlfn.XLOOKUP($C19,Biome[[Name]:[Name]],_xlfn.XLOOKUP(K$3,BiomeCompat[#Headers],BiomeCompat[]))/25, 2)</f>
        <v>-0.18</v>
      </c>
      <c r="L19" s="1" cm="1">
        <f t="array" ref="L19">ROUND(-_xlfn.XLOOKUP($C19,Biome[[Name]:[Name]],_xlfn.XLOOKUP(L$3,BiomeCompat[#Headers],BiomeCompat[]))/25, 2)</f>
        <v>-0.16</v>
      </c>
      <c r="M19" s="1" cm="1">
        <f t="array" ref="M19">ROUND(-_xlfn.XLOOKUP($C19,Biome[[Name]:[Name]],_xlfn.XLOOKUP(M$3,BiomeCompat[#Headers],BiomeCompat[]))/25, 2)</f>
        <v>-0.3</v>
      </c>
      <c r="N19" s="1" cm="1">
        <f t="array" ref="N19">ROUND(-_xlfn.XLOOKUP($C19,Biome[[Name]:[Name]],_xlfn.XLOOKUP(N$3,BiomeCompat[#Headers],BiomeCompat[]))/25, 2)</f>
        <v>-0.26</v>
      </c>
      <c r="O19" s="1" cm="1">
        <f t="array" ref="O19">ROUND(-_xlfn.XLOOKUP($C19,Biome[[Name]:[Name]],_xlfn.XLOOKUP(O$3,BiomeCompat[#Headers],BiomeCompat[]))/25, 2)</f>
        <v>-0.1</v>
      </c>
      <c r="P19" s="1" cm="1">
        <f t="array" ref="P19">ROUND(-_xlfn.XLOOKUP($C19,Biome[[Name]:[Name]],_xlfn.XLOOKUP(P$3,BiomeCompat[#Headers],BiomeCompat[]))/25, 2)</f>
        <v>-0.16</v>
      </c>
      <c r="Q19" s="1" cm="1">
        <f t="array" ref="Q19">ROUND(-_xlfn.XLOOKUP($C19,Biome[[Name]:[Name]],_xlfn.XLOOKUP(Q$3,BiomeCompat[#Headers],BiomeCompat[]))/25, 2)</f>
        <v>-0.12</v>
      </c>
      <c r="R19" s="1" cm="1">
        <f t="array" ref="R19">ROUND(-_xlfn.XLOOKUP($C19,Biome[[Name]:[Name]],_xlfn.XLOOKUP(R$3,BiomeCompat[#Headers],BiomeCompat[]))/25, 2)</f>
        <v>0</v>
      </c>
      <c r="S19" s="1" cm="1">
        <f t="array" ref="S19">ROUND(-_xlfn.XLOOKUP($C19,Biome[[Name]:[Name]],_xlfn.XLOOKUP(S$3,BiomeCompat[#Headers],BiomeCompat[]))/25, 2)</f>
        <v>-0.1</v>
      </c>
      <c r="T19" s="1" cm="1">
        <f t="array" ref="T19">ROUND(-_xlfn.XLOOKUP($C19,Biome[[Name]:[Name]],_xlfn.XLOOKUP(T$3,BiomeCompat[#Headers],BiomeCompat[]))/25, 2)</f>
        <v>-0.08</v>
      </c>
      <c r="U19" s="1" cm="1">
        <f t="array" ref="U19">ROUND(-_xlfn.XLOOKUP($C19,Biome[[Name]:[Name]],_xlfn.XLOOKUP(U$3,BiomeCompat[#Headers],BiomeCompat[]))/25, 2)</f>
        <v>-1.46</v>
      </c>
      <c r="V19" s="1" cm="1">
        <f t="array" ref="V19">ROUND(-_xlfn.XLOOKUP($C19,Biome[[Name]:[Name]],_xlfn.XLOOKUP(V$3,BiomeCompat[#Headers],BiomeCompat[]))/25, 2)</f>
        <v>-1.48</v>
      </c>
      <c r="W19" s="1" cm="1">
        <f t="array" ref="W19">ROUND(-_xlfn.XLOOKUP($C19,Biome[[Name]:[Name]],_xlfn.XLOOKUP(W$3,BiomeCompat[#Headers],BiomeCompat[]))/25, 2)</f>
        <v>-1.48</v>
      </c>
    </row>
    <row r="20" spans="1:23" x14ac:dyDescent="0.3">
      <c r="A20" s="1">
        <v>15</v>
      </c>
      <c r="B20" s="1" t="s">
        <v>20</v>
      </c>
      <c r="C20" s="1" t="s">
        <v>83</v>
      </c>
      <c r="D20" s="1">
        <f>LOOKUP(C20, Sheet2!F$3:F$21, Sheet2!E$3:E$21)</f>
        <v>27</v>
      </c>
      <c r="E20" s="1" cm="1">
        <f t="array" ref="E20">ROUND(-_xlfn.XLOOKUP($C20,Biome[[Name]:[Name]],_xlfn.XLOOKUP(E$3,BiomeCompat[#Headers],BiomeCompat[]))/25, 2)</f>
        <v>-0.66</v>
      </c>
      <c r="F20" s="1" cm="1">
        <f t="array" ref="F20">ROUND(-_xlfn.XLOOKUP($C20,Biome[[Name]:[Name]],_xlfn.XLOOKUP(F$3,BiomeCompat[#Headers],BiomeCompat[]))/25, 2)</f>
        <v>-0.66</v>
      </c>
      <c r="G20" s="1" cm="1">
        <f t="array" ref="G20">ROUND(-_xlfn.XLOOKUP($C20,Biome[[Name]:[Name]],_xlfn.XLOOKUP(G$3,BiomeCompat[#Headers],BiomeCompat[]))/25, 2)</f>
        <v>-0.6</v>
      </c>
      <c r="H20" s="1" cm="1">
        <f t="array" ref="H20">ROUND(-_xlfn.XLOOKUP($C20,Biome[[Name]:[Name]],_xlfn.XLOOKUP(H$3,BiomeCompat[#Headers],BiomeCompat[]))/25, 2)</f>
        <v>-0.14000000000000001</v>
      </c>
      <c r="I20" s="1" cm="1">
        <f t="array" ref="I20">ROUND(-_xlfn.XLOOKUP($C20,Biome[[Name]:[Name]],_xlfn.XLOOKUP(I$3,BiomeCompat[#Headers],BiomeCompat[]))/25, 2)</f>
        <v>-0.14000000000000001</v>
      </c>
      <c r="J20" s="1" cm="1">
        <f t="array" ref="J20">ROUND(-_xlfn.XLOOKUP($C20,Biome[[Name]:[Name]],_xlfn.XLOOKUP(J$3,BiomeCompat[#Headers],BiomeCompat[]))/25, 2)</f>
        <v>-0.06</v>
      </c>
      <c r="K20" s="1" cm="1">
        <f t="array" ref="K20">ROUND(-_xlfn.XLOOKUP($C20,Biome[[Name]:[Name]],_xlfn.XLOOKUP(K$3,BiomeCompat[#Headers],BiomeCompat[]))/25, 2)</f>
        <v>0</v>
      </c>
      <c r="L20" s="1" cm="1">
        <f t="array" ref="L20">ROUND(-_xlfn.XLOOKUP($C20,Biome[[Name]:[Name]],_xlfn.XLOOKUP(L$3,BiomeCompat[#Headers],BiomeCompat[]))/25, 2)</f>
        <v>-0.1</v>
      </c>
      <c r="M20" s="1" cm="1">
        <f t="array" ref="M20">ROUND(-_xlfn.XLOOKUP($C20,Biome[[Name]:[Name]],_xlfn.XLOOKUP(M$3,BiomeCompat[#Headers],BiomeCompat[]))/25, 2)</f>
        <v>-0.12</v>
      </c>
      <c r="N20" s="1" cm="1">
        <f t="array" ref="N20">ROUND(-_xlfn.XLOOKUP($C20,Biome[[Name]:[Name]],_xlfn.XLOOKUP(N$3,BiomeCompat[#Headers],BiomeCompat[]))/25, 2)</f>
        <v>-0.16</v>
      </c>
      <c r="O20" s="1" cm="1">
        <f t="array" ref="O20">ROUND(-_xlfn.XLOOKUP($C20,Biome[[Name]:[Name]],_xlfn.XLOOKUP(O$3,BiomeCompat[#Headers],BiomeCompat[]))/25, 2)</f>
        <v>-0.08</v>
      </c>
      <c r="P20" s="1" cm="1">
        <f t="array" ref="P20">ROUND(-_xlfn.XLOOKUP($C20,Biome[[Name]:[Name]],_xlfn.XLOOKUP(P$3,BiomeCompat[#Headers],BiomeCompat[]))/25, 2)</f>
        <v>-0.1</v>
      </c>
      <c r="Q20" s="1" cm="1">
        <f t="array" ref="Q20">ROUND(-_xlfn.XLOOKUP($C20,Biome[[Name]:[Name]],_xlfn.XLOOKUP(Q$3,BiomeCompat[#Headers],BiomeCompat[]))/25, 2)</f>
        <v>-0.06</v>
      </c>
      <c r="R20" s="1" cm="1">
        <f t="array" ref="R20">ROUND(-_xlfn.XLOOKUP($C20,Biome[[Name]:[Name]],_xlfn.XLOOKUP(R$3,BiomeCompat[#Headers],BiomeCompat[]))/25, 2)</f>
        <v>-0.18</v>
      </c>
      <c r="S20" s="1" cm="1">
        <f t="array" ref="S20">ROUND(-_xlfn.XLOOKUP($C20,Biome[[Name]:[Name]],_xlfn.XLOOKUP(S$3,BiomeCompat[#Headers],BiomeCompat[]))/25, 2)</f>
        <v>-0.16</v>
      </c>
      <c r="T20" s="1" cm="1">
        <f t="array" ref="T20">ROUND(-_xlfn.XLOOKUP($C20,Biome[[Name]:[Name]],_xlfn.XLOOKUP(T$3,BiomeCompat[#Headers],BiomeCompat[]))/25, 2)</f>
        <v>-0.22</v>
      </c>
      <c r="U20" s="1" cm="1">
        <f t="array" ref="U20">ROUND(-_xlfn.XLOOKUP($C20,Biome[[Name]:[Name]],_xlfn.XLOOKUP(U$3,BiomeCompat[#Headers],BiomeCompat[]))/25, 2)</f>
        <v>-1.6</v>
      </c>
      <c r="V20" s="1" cm="1">
        <f t="array" ref="V20">ROUND(-_xlfn.XLOOKUP($C20,Biome[[Name]:[Name]],_xlfn.XLOOKUP(V$3,BiomeCompat[#Headers],BiomeCompat[]))/25, 2)</f>
        <v>-1.66</v>
      </c>
      <c r="W20" s="1" cm="1">
        <f t="array" ref="W20">ROUND(-_xlfn.XLOOKUP($C20,Biome[[Name]:[Name]],_xlfn.XLOOKUP(W$3,BiomeCompat[#Headers],BiomeCompat[]))/25, 2)</f>
        <v>-1.66</v>
      </c>
    </row>
    <row r="21" spans="1:23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" cm="1">
        <f t="array" ref="E21">ROUND(-_xlfn.XLOOKUP($C21,Biome[[Name]:[Name]],_xlfn.XLOOKUP(E$3,BiomeCompat[#Headers],BiomeCompat[]))/25, 2)</f>
        <v>-0.56000000000000005</v>
      </c>
      <c r="F21" s="1" cm="1">
        <f t="array" ref="F21">ROUND(-_xlfn.XLOOKUP($C21,Biome[[Name]:[Name]],_xlfn.XLOOKUP(F$3,BiomeCompat[#Headers],BiomeCompat[]))/25, 2)</f>
        <v>-0.56000000000000005</v>
      </c>
      <c r="G21" s="1" cm="1">
        <f t="array" ref="G21">ROUND(-_xlfn.XLOOKUP($C21,Biome[[Name]:[Name]],_xlfn.XLOOKUP(G$3,BiomeCompat[#Headers],BiomeCompat[]))/25, 2)</f>
        <v>-0.54</v>
      </c>
      <c r="H21" s="1" cm="1">
        <f t="array" ref="H21">ROUND(-_xlfn.XLOOKUP($C21,Biome[[Name]:[Name]],_xlfn.XLOOKUP(H$3,BiomeCompat[#Headers],BiomeCompat[]))/25, 2)</f>
        <v>-0.04</v>
      </c>
      <c r="I21" s="1" cm="1">
        <f t="array" ref="I21">ROUND(-_xlfn.XLOOKUP($C21,Biome[[Name]:[Name]],_xlfn.XLOOKUP(I$3,BiomeCompat[#Headers],BiomeCompat[]))/25, 2)</f>
        <v>-0.04</v>
      </c>
      <c r="J21" s="1" cm="1">
        <f t="array" ref="J21">ROUND(-_xlfn.XLOOKUP($C21,Biome[[Name]:[Name]],_xlfn.XLOOKUP(J$3,BiomeCompat[#Headers],BiomeCompat[]))/25, 2)</f>
        <v>-0.08</v>
      </c>
      <c r="K21" s="1" cm="1">
        <f t="array" ref="K21">ROUND(-_xlfn.XLOOKUP($C21,Biome[[Name]:[Name]],_xlfn.XLOOKUP(K$3,BiomeCompat[#Headers],BiomeCompat[]))/25, 2)</f>
        <v>-0.1</v>
      </c>
      <c r="L21" s="1" cm="1">
        <f t="array" ref="L21">ROUND(-_xlfn.XLOOKUP($C21,Biome[[Name]:[Name]],_xlfn.XLOOKUP(L$3,BiomeCompat[#Headers],BiomeCompat[]))/25, 2)</f>
        <v>0</v>
      </c>
      <c r="M21" s="1" cm="1">
        <f t="array" ref="M21">ROUND(-_xlfn.XLOOKUP($C21,Biome[[Name]:[Name]],_xlfn.XLOOKUP(M$3,BiomeCompat[#Headers],BiomeCompat[]))/25, 2)</f>
        <v>-0.22</v>
      </c>
      <c r="N21" s="1" cm="1">
        <f t="array" ref="N21">ROUND(-_xlfn.XLOOKUP($C21,Biome[[Name]:[Name]],_xlfn.XLOOKUP(N$3,BiomeCompat[#Headers],BiomeCompat[]))/25, 2)</f>
        <v>-0.26</v>
      </c>
      <c r="O21" s="1" cm="1">
        <f t="array" ref="O21">ROUND(-_xlfn.XLOOKUP($C21,Biome[[Name]:[Name]],_xlfn.XLOOKUP(O$3,BiomeCompat[#Headers],BiomeCompat[]))/25, 2)</f>
        <v>-0.1</v>
      </c>
      <c r="P21" s="1" cm="1">
        <f t="array" ref="P21">ROUND(-_xlfn.XLOOKUP($C21,Biome[[Name]:[Name]],_xlfn.XLOOKUP(P$3,BiomeCompat[#Headers],BiomeCompat[]))/25, 2)</f>
        <v>-0.16</v>
      </c>
      <c r="Q21" s="1" cm="1">
        <f t="array" ref="Q21">ROUND(-_xlfn.XLOOKUP($C21,Biome[[Name]:[Name]],_xlfn.XLOOKUP(Q$3,BiomeCompat[#Headers],BiomeCompat[]))/25, 2)</f>
        <v>-0.12</v>
      </c>
      <c r="R21" s="1" cm="1">
        <f t="array" ref="R21">ROUND(-_xlfn.XLOOKUP($C21,Biome[[Name]:[Name]],_xlfn.XLOOKUP(R$3,BiomeCompat[#Headers],BiomeCompat[]))/25, 2)</f>
        <v>-0.16</v>
      </c>
      <c r="S21" s="1" cm="1">
        <f t="array" ref="S21">ROUND(-_xlfn.XLOOKUP($C21,Biome[[Name]:[Name]],_xlfn.XLOOKUP(S$3,BiomeCompat[#Headers],BiomeCompat[]))/25, 2)</f>
        <v>-0.26</v>
      </c>
      <c r="T21" s="1" cm="1">
        <f t="array" ref="T21">ROUND(-_xlfn.XLOOKUP($C21,Biome[[Name]:[Name]],_xlfn.XLOOKUP(T$3,BiomeCompat[#Headers],BiomeCompat[]))/25, 2)</f>
        <v>-0.24</v>
      </c>
      <c r="U21" s="1" cm="1">
        <f t="array" ref="U21">ROUND(-_xlfn.XLOOKUP($C21,Biome[[Name]:[Name]],_xlfn.XLOOKUP(U$3,BiomeCompat[#Headers],BiomeCompat[]))/25, 2)</f>
        <v>-1.62</v>
      </c>
      <c r="V21" s="1" cm="1">
        <f t="array" ref="V21">ROUND(-_xlfn.XLOOKUP($C21,Biome[[Name]:[Name]],_xlfn.XLOOKUP(V$3,BiomeCompat[#Headers],BiomeCompat[]))/25, 2)</f>
        <v>-1.64</v>
      </c>
      <c r="W21" s="1" cm="1">
        <f t="array" ref="W21">ROUND(-_xlfn.XLOOKUP($C21,Biome[[Name]:[Name]],_xlfn.XLOOKUP(W$3,BiomeCompat[#Headers],BiomeCompat[]))/25, 2)</f>
        <v>-1.64</v>
      </c>
    </row>
    <row r="22" spans="1:23" x14ac:dyDescent="0.3">
      <c r="A22" s="1">
        <v>17</v>
      </c>
      <c r="B22" s="1" t="s">
        <v>22</v>
      </c>
      <c r="C22" s="1" t="s">
        <v>77</v>
      </c>
      <c r="D22" s="1">
        <f>LOOKUP(C22, Sheet2!F$3:F$21, Sheet2!E$3:E$21)</f>
        <v>12</v>
      </c>
      <c r="E22" s="1" cm="1">
        <f t="array" ref="E22">ROUND(-_xlfn.XLOOKUP($C22,Biome[[Name]:[Name]],_xlfn.XLOOKUP(E$3,BiomeCompat[#Headers],BiomeCompat[]))/25, 2)</f>
        <v>0</v>
      </c>
      <c r="F22" s="1" cm="1">
        <f t="array" ref="F22">ROUND(-_xlfn.XLOOKUP($C22,Biome[[Name]:[Name]],_xlfn.XLOOKUP(F$3,BiomeCompat[#Headers],BiomeCompat[]))/25, 2)</f>
        <v>0</v>
      </c>
      <c r="G22" s="1" cm="1">
        <f t="array" ref="G22">ROUND(-_xlfn.XLOOKUP($C22,Biome[[Name]:[Name]],_xlfn.XLOOKUP(G$3,BiomeCompat[#Headers],BiomeCompat[]))/25, 2)</f>
        <v>-0.06</v>
      </c>
      <c r="H22" s="1" cm="1">
        <f t="array" ref="H22">ROUND(-_xlfn.XLOOKUP($C22,Biome[[Name]:[Name]],_xlfn.XLOOKUP(H$3,BiomeCompat[#Headers],BiomeCompat[]))/25, 2)</f>
        <v>-0.52</v>
      </c>
      <c r="I22" s="1" cm="1">
        <f t="array" ref="I22">ROUND(-_xlfn.XLOOKUP($C22,Biome[[Name]:[Name]],_xlfn.XLOOKUP(I$3,BiomeCompat[#Headers],BiomeCompat[]))/25, 2)</f>
        <v>-0.52</v>
      </c>
      <c r="J22" s="1" cm="1">
        <f t="array" ref="J22">ROUND(-_xlfn.XLOOKUP($C22,Biome[[Name]:[Name]],_xlfn.XLOOKUP(J$3,BiomeCompat[#Headers],BiomeCompat[]))/25, 2)</f>
        <v>-0.64</v>
      </c>
      <c r="K22" s="1" cm="1">
        <f t="array" ref="K22">ROUND(-_xlfn.XLOOKUP($C22,Biome[[Name]:[Name]],_xlfn.XLOOKUP(K$3,BiomeCompat[#Headers],BiomeCompat[]))/25, 2)</f>
        <v>-0.66</v>
      </c>
      <c r="L22" s="1" cm="1">
        <f t="array" ref="L22">ROUND(-_xlfn.XLOOKUP($C22,Biome[[Name]:[Name]],_xlfn.XLOOKUP(L$3,BiomeCompat[#Headers],BiomeCompat[]))/25, 2)</f>
        <v>-0.56000000000000005</v>
      </c>
      <c r="M22" s="1" cm="1">
        <f t="array" ref="M22">ROUND(-_xlfn.XLOOKUP($C22,Biome[[Name]:[Name]],_xlfn.XLOOKUP(M$3,BiomeCompat[#Headers],BiomeCompat[]))/25, 2)</f>
        <v>-0.78</v>
      </c>
      <c r="N22" s="1" cm="1">
        <f t="array" ref="N22">ROUND(-_xlfn.XLOOKUP($C22,Biome[[Name]:[Name]],_xlfn.XLOOKUP(N$3,BiomeCompat[#Headers],BiomeCompat[]))/25, 2)</f>
        <v>-0.82</v>
      </c>
      <c r="O22" s="1" cm="1">
        <f t="array" ref="O22">ROUND(-_xlfn.XLOOKUP($C22,Biome[[Name]:[Name]],_xlfn.XLOOKUP(O$3,BiomeCompat[#Headers],BiomeCompat[]))/25, 2)</f>
        <v>-0.66</v>
      </c>
      <c r="P22" s="1" cm="1">
        <f t="array" ref="P22">ROUND(-_xlfn.XLOOKUP($C22,Biome[[Name]:[Name]],_xlfn.XLOOKUP(P$3,BiomeCompat[#Headers],BiomeCompat[]))/25, 2)</f>
        <v>-0.72</v>
      </c>
      <c r="Q22" s="1" cm="1">
        <f t="array" ref="Q22">ROUND(-_xlfn.XLOOKUP($C22,Biome[[Name]:[Name]],_xlfn.XLOOKUP(Q$3,BiomeCompat[#Headers],BiomeCompat[]))/25, 2)</f>
        <v>-0.68</v>
      </c>
      <c r="R22" s="1" cm="1">
        <f t="array" ref="R22">ROUND(-_xlfn.XLOOKUP($C22,Biome[[Name]:[Name]],_xlfn.XLOOKUP(R$3,BiomeCompat[#Headers],BiomeCompat[]))/25, 2)</f>
        <v>-0.72</v>
      </c>
      <c r="S22" s="1" cm="1">
        <f t="array" ref="S22">ROUND(-_xlfn.XLOOKUP($C22,Biome[[Name]:[Name]],_xlfn.XLOOKUP(S$3,BiomeCompat[#Headers],BiomeCompat[]))/25, 2)</f>
        <v>-0.82</v>
      </c>
      <c r="T22" s="1" cm="1">
        <f t="array" ref="T22">ROUND(-_xlfn.XLOOKUP($C22,Biome[[Name]:[Name]],_xlfn.XLOOKUP(T$3,BiomeCompat[#Headers],BiomeCompat[]))/25, 2)</f>
        <v>-0.76</v>
      </c>
      <c r="U22" s="1" cm="1">
        <f t="array" ref="U22">ROUND(-_xlfn.XLOOKUP($C22,Biome[[Name]:[Name]],_xlfn.XLOOKUP(U$3,BiomeCompat[#Headers],BiomeCompat[]))/25, 2)</f>
        <v>-1.34</v>
      </c>
      <c r="V22" s="1" cm="1">
        <f t="array" ref="V22">ROUND(-_xlfn.XLOOKUP($C22,Biome[[Name]:[Name]],_xlfn.XLOOKUP(V$3,BiomeCompat[#Headers],BiomeCompat[]))/25, 2)</f>
        <v>-1.24</v>
      </c>
      <c r="W22" s="1" cm="1">
        <f t="array" ref="W22">ROUND(-_xlfn.XLOOKUP($C22,Biome[[Name]:[Name]],_xlfn.XLOOKUP(W$3,BiomeCompat[#Headers],BiomeCompat[]))/25, 2)</f>
        <v>-1.24</v>
      </c>
    </row>
    <row r="23" spans="1:23" x14ac:dyDescent="0.3">
      <c r="A23" s="1">
        <v>18</v>
      </c>
      <c r="B23" s="1" t="s">
        <v>23</v>
      </c>
      <c r="C23" s="1" t="s">
        <v>84</v>
      </c>
      <c r="D23" s="1">
        <f>LOOKUP(C23, Sheet2!F$3:F$21, Sheet2!E$3:E$21)</f>
        <v>8</v>
      </c>
      <c r="E23" s="1" cm="1">
        <f t="array" ref="E23">ROUND(-_xlfn.XLOOKUP($C23,Biome[[Name]:[Name]],_xlfn.XLOOKUP(E$3,BiomeCompat[#Headers],BiomeCompat[]))/25, 2)</f>
        <v>-0.64</v>
      </c>
      <c r="F23" s="1" cm="1">
        <f t="array" ref="F23">ROUND(-_xlfn.XLOOKUP($C23,Biome[[Name]:[Name]],_xlfn.XLOOKUP(F$3,BiomeCompat[#Headers],BiomeCompat[]))/25, 2)</f>
        <v>-0.64</v>
      </c>
      <c r="G23" s="1" cm="1">
        <f t="array" ref="G23">ROUND(-_xlfn.XLOOKUP($C23,Biome[[Name]:[Name]],_xlfn.XLOOKUP(G$3,BiomeCompat[#Headers],BiomeCompat[]))/25, 2)</f>
        <v>-0.57999999999999996</v>
      </c>
      <c r="H23" s="1" cm="1">
        <f t="array" ref="H23">ROUND(-_xlfn.XLOOKUP($C23,Biome[[Name]:[Name]],_xlfn.XLOOKUP(H$3,BiomeCompat[#Headers],BiomeCompat[]))/25, 2)</f>
        <v>-0.12</v>
      </c>
      <c r="I23" s="1" cm="1">
        <f t="array" ref="I23">ROUND(-_xlfn.XLOOKUP($C23,Biome[[Name]:[Name]],_xlfn.XLOOKUP(I$3,BiomeCompat[#Headers],BiomeCompat[]))/25, 2)</f>
        <v>-0.12</v>
      </c>
      <c r="J23" s="1" cm="1">
        <f t="array" ref="J23">ROUND(-_xlfn.XLOOKUP($C23,Biome[[Name]:[Name]],_xlfn.XLOOKUP(J$3,BiomeCompat[#Headers],BiomeCompat[]))/25, 2)</f>
        <v>0</v>
      </c>
      <c r="K23" s="1" cm="1">
        <f t="array" ref="K23">ROUND(-_xlfn.XLOOKUP($C23,Biome[[Name]:[Name]],_xlfn.XLOOKUP(K$3,BiomeCompat[#Headers],BiomeCompat[]))/25, 2)</f>
        <v>-0.06</v>
      </c>
      <c r="L23" s="1" cm="1">
        <f t="array" ref="L23">ROUND(-_xlfn.XLOOKUP($C23,Biome[[Name]:[Name]],_xlfn.XLOOKUP(L$3,BiomeCompat[#Headers],BiomeCompat[]))/25, 2)</f>
        <v>-0.08</v>
      </c>
      <c r="M23" s="1" cm="1">
        <f t="array" ref="M23">ROUND(-_xlfn.XLOOKUP($C23,Biome[[Name]:[Name]],_xlfn.XLOOKUP(M$3,BiomeCompat[#Headers],BiomeCompat[]))/25, 2)</f>
        <v>-0.14000000000000001</v>
      </c>
      <c r="N23" s="1" cm="1">
        <f t="array" ref="N23">ROUND(-_xlfn.XLOOKUP($C23,Biome[[Name]:[Name]],_xlfn.XLOOKUP(N$3,BiomeCompat[#Headers],BiomeCompat[]))/25, 2)</f>
        <v>-0.18</v>
      </c>
      <c r="O23" s="1" cm="1">
        <f t="array" ref="O23">ROUND(-_xlfn.XLOOKUP($C23,Biome[[Name]:[Name]],_xlfn.XLOOKUP(O$3,BiomeCompat[#Headers],BiomeCompat[]))/25, 2)</f>
        <v>-0.14000000000000001</v>
      </c>
      <c r="P23" s="1" cm="1">
        <f t="array" ref="P23">ROUND(-_xlfn.XLOOKUP($C23,Biome[[Name]:[Name]],_xlfn.XLOOKUP(P$3,BiomeCompat[#Headers],BiomeCompat[]))/25, 2)</f>
        <v>-0.12</v>
      </c>
      <c r="Q23" s="1" cm="1">
        <f t="array" ref="Q23">ROUND(-_xlfn.XLOOKUP($C23,Biome[[Name]:[Name]],_xlfn.XLOOKUP(Q$3,BiomeCompat[#Headers],BiomeCompat[]))/25, 2)</f>
        <v>-0.12</v>
      </c>
      <c r="R23" s="1" cm="1">
        <f t="array" ref="R23">ROUND(-_xlfn.XLOOKUP($C23,Biome[[Name]:[Name]],_xlfn.XLOOKUP(R$3,BiomeCompat[#Headers],BiomeCompat[]))/25, 2)</f>
        <v>-0.24</v>
      </c>
      <c r="S23" s="1" cm="1">
        <f t="array" ref="S23">ROUND(-_xlfn.XLOOKUP($C23,Biome[[Name]:[Name]],_xlfn.XLOOKUP(S$3,BiomeCompat[#Headers],BiomeCompat[]))/25, 2)</f>
        <v>-0.22</v>
      </c>
      <c r="T23" s="1" cm="1">
        <f t="array" ref="T23">ROUND(-_xlfn.XLOOKUP($C23,Biome[[Name]:[Name]],_xlfn.XLOOKUP(T$3,BiomeCompat[#Headers],BiomeCompat[]))/25, 2)</f>
        <v>-0.28000000000000003</v>
      </c>
      <c r="U23" s="1" cm="1">
        <f t="array" ref="U23">ROUND(-_xlfn.XLOOKUP($C23,Biome[[Name]:[Name]],_xlfn.XLOOKUP(U$3,BiomeCompat[#Headers],BiomeCompat[]))/25, 2)</f>
        <v>-1.62</v>
      </c>
      <c r="V23" s="1" cm="1">
        <f t="array" ref="V23">ROUND(-_xlfn.XLOOKUP($C23,Biome[[Name]:[Name]],_xlfn.XLOOKUP(V$3,BiomeCompat[#Headers],BiomeCompat[]))/25, 2)</f>
        <v>-1.72</v>
      </c>
      <c r="W23" s="1" cm="1">
        <f t="array" ref="W23">ROUND(-_xlfn.XLOOKUP($C23,Biome[[Name]:[Name]],_xlfn.XLOOKUP(W$3,BiomeCompat[#Headers],BiomeCompat[]))/25, 2)</f>
        <v>-1.72</v>
      </c>
    </row>
    <row r="24" spans="1:23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" cm="1">
        <f t="array" ref="E24">ROUND(-_xlfn.XLOOKUP($C24,Biome[[Name]:[Name]],_xlfn.XLOOKUP(E$3,BiomeCompat[#Headers],BiomeCompat[]))/25, 2)</f>
        <v>-0.72</v>
      </c>
      <c r="F24" s="1" cm="1">
        <f t="array" ref="F24">ROUND(-_xlfn.XLOOKUP($C24,Biome[[Name]:[Name]],_xlfn.XLOOKUP(F$3,BiomeCompat[#Headers],BiomeCompat[]))/25, 2)</f>
        <v>-0.72</v>
      </c>
      <c r="G24" s="1" cm="1">
        <f t="array" ref="G24">ROUND(-_xlfn.XLOOKUP($C24,Biome[[Name]:[Name]],_xlfn.XLOOKUP(G$3,BiomeCompat[#Headers],BiomeCompat[]))/25, 2)</f>
        <v>-0.7</v>
      </c>
      <c r="H24" s="1" cm="1">
        <f t="array" ref="H24">ROUND(-_xlfn.XLOOKUP($C24,Biome[[Name]:[Name]],_xlfn.XLOOKUP(H$3,BiomeCompat[#Headers],BiomeCompat[]))/25, 2)</f>
        <v>-0.2</v>
      </c>
      <c r="I24" s="1" cm="1">
        <f t="array" ref="I24">ROUND(-_xlfn.XLOOKUP($C24,Biome[[Name]:[Name]],_xlfn.XLOOKUP(I$3,BiomeCompat[#Headers],BiomeCompat[]))/25, 2)</f>
        <v>-0.2</v>
      </c>
      <c r="J24" s="1" cm="1">
        <f t="array" ref="J24">ROUND(-_xlfn.XLOOKUP($C24,Biome[[Name]:[Name]],_xlfn.XLOOKUP(J$3,BiomeCompat[#Headers],BiomeCompat[]))/25, 2)</f>
        <v>-0.24</v>
      </c>
      <c r="K24" s="1" cm="1">
        <f t="array" ref="K24">ROUND(-_xlfn.XLOOKUP($C24,Biome[[Name]:[Name]],_xlfn.XLOOKUP(K$3,BiomeCompat[#Headers],BiomeCompat[]))/25, 2)</f>
        <v>-0.18</v>
      </c>
      <c r="L24" s="1" cm="1">
        <f t="array" ref="L24">ROUND(-_xlfn.XLOOKUP($C24,Biome[[Name]:[Name]],_xlfn.XLOOKUP(L$3,BiomeCompat[#Headers],BiomeCompat[]))/25, 2)</f>
        <v>-0.16</v>
      </c>
      <c r="M24" s="1" cm="1">
        <f t="array" ref="M24">ROUND(-_xlfn.XLOOKUP($C24,Biome[[Name]:[Name]],_xlfn.XLOOKUP(M$3,BiomeCompat[#Headers],BiomeCompat[]))/25, 2)</f>
        <v>-0.3</v>
      </c>
      <c r="N24" s="1" cm="1">
        <f t="array" ref="N24">ROUND(-_xlfn.XLOOKUP($C24,Biome[[Name]:[Name]],_xlfn.XLOOKUP(N$3,BiomeCompat[#Headers],BiomeCompat[]))/25, 2)</f>
        <v>-0.26</v>
      </c>
      <c r="O24" s="1" cm="1">
        <f t="array" ref="O24">ROUND(-_xlfn.XLOOKUP($C24,Biome[[Name]:[Name]],_xlfn.XLOOKUP(O$3,BiomeCompat[#Headers],BiomeCompat[]))/25, 2)</f>
        <v>-0.1</v>
      </c>
      <c r="P24" s="1" cm="1">
        <f t="array" ref="P24">ROUND(-_xlfn.XLOOKUP($C24,Biome[[Name]:[Name]],_xlfn.XLOOKUP(P$3,BiomeCompat[#Headers],BiomeCompat[]))/25, 2)</f>
        <v>-0.16</v>
      </c>
      <c r="Q24" s="1" cm="1">
        <f t="array" ref="Q24">ROUND(-_xlfn.XLOOKUP($C24,Biome[[Name]:[Name]],_xlfn.XLOOKUP(Q$3,BiomeCompat[#Headers],BiomeCompat[]))/25, 2)</f>
        <v>-0.12</v>
      </c>
      <c r="R24" s="1" cm="1">
        <f t="array" ref="R24">ROUND(-_xlfn.XLOOKUP($C24,Biome[[Name]:[Name]],_xlfn.XLOOKUP(R$3,BiomeCompat[#Headers],BiomeCompat[]))/25, 2)</f>
        <v>0</v>
      </c>
      <c r="S24" s="1" cm="1">
        <f t="array" ref="S24">ROUND(-_xlfn.XLOOKUP($C24,Biome[[Name]:[Name]],_xlfn.XLOOKUP(S$3,BiomeCompat[#Headers],BiomeCompat[]))/25, 2)</f>
        <v>-0.1</v>
      </c>
      <c r="T24" s="1" cm="1">
        <f t="array" ref="T24">ROUND(-_xlfn.XLOOKUP($C24,Biome[[Name]:[Name]],_xlfn.XLOOKUP(T$3,BiomeCompat[#Headers],BiomeCompat[]))/25, 2)</f>
        <v>-0.08</v>
      </c>
      <c r="U24" s="1" cm="1">
        <f t="array" ref="U24">ROUND(-_xlfn.XLOOKUP($C24,Biome[[Name]:[Name]],_xlfn.XLOOKUP(U$3,BiomeCompat[#Headers],BiomeCompat[]))/25, 2)</f>
        <v>-1.46</v>
      </c>
      <c r="V24" s="1" cm="1">
        <f t="array" ref="V24">ROUND(-_xlfn.XLOOKUP($C24,Biome[[Name]:[Name]],_xlfn.XLOOKUP(V$3,BiomeCompat[#Headers],BiomeCompat[]))/25, 2)</f>
        <v>-1.48</v>
      </c>
      <c r="W24" s="1" cm="1">
        <f t="array" ref="W24">ROUND(-_xlfn.XLOOKUP($C24,Biome[[Name]:[Name]],_xlfn.XLOOKUP(W$3,BiomeCompat[#Headers],BiomeCompat[]))/25, 2)</f>
        <v>-1.48</v>
      </c>
    </row>
    <row r="28" spans="1:23" x14ac:dyDescent="0.3">
      <c r="H28" s="7"/>
    </row>
    <row r="29" spans="1:23" x14ac:dyDescent="0.3">
      <c r="H29" s="7"/>
    </row>
    <row r="30" spans="1:23" x14ac:dyDescent="0.3">
      <c r="H30" s="7"/>
    </row>
    <row r="31" spans="1:23" x14ac:dyDescent="0.3">
      <c r="H31" s="7"/>
    </row>
    <row r="32" spans="1:23" x14ac:dyDescent="0.3">
      <c r="H32" s="7"/>
    </row>
    <row r="33" spans="8:8" x14ac:dyDescent="0.3">
      <c r="H33" s="7"/>
    </row>
    <row r="34" spans="8:8" x14ac:dyDescent="0.3">
      <c r="H34" s="7"/>
    </row>
    <row r="35" spans="8:8" x14ac:dyDescent="0.3">
      <c r="H35" s="7"/>
    </row>
    <row r="36" spans="8:8" x14ac:dyDescent="0.3">
      <c r="H36" s="7"/>
    </row>
    <row r="37" spans="8:8" x14ac:dyDescent="0.3">
      <c r="H37" s="7"/>
    </row>
    <row r="38" spans="8:8" x14ac:dyDescent="0.3">
      <c r="H38" s="7"/>
    </row>
    <row r="39" spans="8:8" x14ac:dyDescent="0.3">
      <c r="H39" s="7"/>
    </row>
    <row r="40" spans="8:8" x14ac:dyDescent="0.3">
      <c r="H40" s="7"/>
    </row>
    <row r="41" spans="8:8" x14ac:dyDescent="0.3">
      <c r="H41" s="7"/>
    </row>
    <row r="42" spans="8:8" x14ac:dyDescent="0.3">
      <c r="H42" s="7"/>
    </row>
    <row r="43" spans="8:8" x14ac:dyDescent="0.3">
      <c r="H43" s="7"/>
    </row>
  </sheetData>
  <mergeCells count="6">
    <mergeCell ref="E2:G2"/>
    <mergeCell ref="H2:J2"/>
    <mergeCell ref="S2:T2"/>
    <mergeCell ref="U2:W2"/>
    <mergeCell ref="N2:Q2"/>
    <mergeCell ref="K2:M2"/>
  </mergeCells>
  <conditionalFormatting sqref="E5:W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O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E3:Y3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zoomScaleNormal="100" workbookViewId="0">
      <selection activeCell="J22" sqref="J22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9"/>
      <c r="N1" s="11"/>
      <c r="O1" s="9"/>
      <c r="P1" s="10"/>
      <c r="Q1" s="11"/>
      <c r="R1" s="9"/>
      <c r="S1" s="11"/>
      <c r="T1" s="9"/>
      <c r="U1" s="10"/>
      <c r="V1" s="10"/>
      <c r="W1" s="11"/>
      <c r="X1" s="9"/>
      <c r="Y1" s="10"/>
      <c r="Z1" s="11"/>
      <c r="AA1" s="9"/>
      <c r="AB1" s="10"/>
      <c r="AC1" s="11"/>
      <c r="AD1" s="9"/>
      <c r="AE1" s="11"/>
    </row>
    <row r="2" spans="2:31" x14ac:dyDescent="0.3">
      <c r="B2" t="s">
        <v>72</v>
      </c>
      <c r="C2" t="s">
        <v>73</v>
      </c>
      <c r="E2" s="3" t="s">
        <v>1</v>
      </c>
      <c r="F2" s="3" t="s">
        <v>48</v>
      </c>
      <c r="G2" s="3" t="s">
        <v>33</v>
      </c>
      <c r="H2" s="3" t="s">
        <v>52</v>
      </c>
      <c r="I2" s="3" t="s">
        <v>53</v>
      </c>
      <c r="J2" s="3" t="s">
        <v>58</v>
      </c>
      <c r="K2" s="3"/>
      <c r="L2" s="3"/>
      <c r="M2" s="8" t="s">
        <v>77</v>
      </c>
      <c r="N2" s="8" t="s">
        <v>85</v>
      </c>
      <c r="O2" s="8" t="s">
        <v>78</v>
      </c>
      <c r="P2" s="8" t="s">
        <v>79</v>
      </c>
      <c r="Q2" s="8" t="s">
        <v>84</v>
      </c>
      <c r="R2" s="8" t="s">
        <v>83</v>
      </c>
      <c r="S2" s="8" t="s">
        <v>34</v>
      </c>
      <c r="T2" s="8" t="s">
        <v>4</v>
      </c>
      <c r="U2" s="8" t="s">
        <v>80</v>
      </c>
      <c r="V2" s="8" t="s">
        <v>3</v>
      </c>
      <c r="W2" s="8" t="s">
        <v>81</v>
      </c>
      <c r="X2" s="8" t="s">
        <v>82</v>
      </c>
      <c r="Y2" s="8" t="s">
        <v>28</v>
      </c>
      <c r="Z2" s="8" t="s">
        <v>75</v>
      </c>
      <c r="AA2" s="8" t="s">
        <v>25</v>
      </c>
      <c r="AB2" s="8" t="s">
        <v>76</v>
      </c>
      <c r="AC2" s="8" t="s">
        <v>5</v>
      </c>
      <c r="AD2" s="8" t="s">
        <v>27</v>
      </c>
      <c r="AE2" s="8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54</v>
      </c>
      <c r="J3" s="1" t="s">
        <v>59</v>
      </c>
      <c r="K3" s="1"/>
      <c r="L3" s="13" t="s">
        <v>5</v>
      </c>
      <c r="M3" s="6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6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6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6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6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6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6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6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6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6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6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6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6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6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6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6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6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6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6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82</v>
      </c>
      <c r="G4" s="1" t="s">
        <v>40</v>
      </c>
      <c r="H4" s="1" t="s">
        <v>42</v>
      </c>
      <c r="I4" s="1" t="s">
        <v>55</v>
      </c>
      <c r="J4" s="1" t="s">
        <v>60</v>
      </c>
      <c r="K4" s="1"/>
      <c r="L4" s="14" t="s">
        <v>82</v>
      </c>
      <c r="M4" s="6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6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6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6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6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6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6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6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6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6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6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6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6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6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6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6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6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6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6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50</v>
      </c>
      <c r="J5" s="1" t="s">
        <v>60</v>
      </c>
      <c r="K5" s="1"/>
      <c r="L5" s="13" t="s">
        <v>3</v>
      </c>
      <c r="M5" s="6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6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6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6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6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6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6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6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6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6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6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6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6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6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6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6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6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6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6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80</v>
      </c>
      <c r="G6" s="1" t="s">
        <v>40</v>
      </c>
      <c r="H6" s="1" t="s">
        <v>41</v>
      </c>
      <c r="I6" s="1" t="s">
        <v>51</v>
      </c>
      <c r="J6" s="1" t="s">
        <v>60</v>
      </c>
      <c r="K6" s="1"/>
      <c r="L6" s="14" t="s">
        <v>80</v>
      </c>
      <c r="M6" s="6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6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6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6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6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6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6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6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6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6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6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6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6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6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6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6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6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6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6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57</v>
      </c>
      <c r="J7" s="1" t="s">
        <v>60</v>
      </c>
      <c r="K7" s="1"/>
      <c r="L7" s="13" t="s">
        <v>4</v>
      </c>
      <c r="M7" s="6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6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6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6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6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6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6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6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6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6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6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6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6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6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6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6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6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6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6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51</v>
      </c>
      <c r="J8" s="1" t="s">
        <v>60</v>
      </c>
      <c r="K8" s="1"/>
      <c r="L8" s="14" t="s">
        <v>25</v>
      </c>
      <c r="M8" s="6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6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6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6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6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6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6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6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6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6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6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6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6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6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6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6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6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6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6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83</v>
      </c>
      <c r="G9" s="1" t="s">
        <v>36</v>
      </c>
      <c r="H9" s="1" t="s">
        <v>31</v>
      </c>
      <c r="I9" s="1" t="s">
        <v>51</v>
      </c>
      <c r="J9" s="1" t="s">
        <v>60</v>
      </c>
      <c r="K9" s="1"/>
      <c r="L9" s="13" t="s">
        <v>83</v>
      </c>
      <c r="M9" s="6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6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6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6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6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6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6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6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6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6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6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6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6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6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6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6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6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6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6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79</v>
      </c>
      <c r="G10" s="1" t="s">
        <v>35</v>
      </c>
      <c r="H10" s="1" t="s">
        <v>30</v>
      </c>
      <c r="I10" s="1" t="s">
        <v>56</v>
      </c>
      <c r="J10" s="1" t="s">
        <v>60</v>
      </c>
      <c r="K10" s="1"/>
      <c r="L10" s="14" t="s">
        <v>79</v>
      </c>
      <c r="M10" s="6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6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6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6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6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6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6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6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6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6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6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6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6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6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6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6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6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6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6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76</v>
      </c>
      <c r="G11" s="1" t="s">
        <v>45</v>
      </c>
      <c r="H11" s="1" t="s">
        <v>30</v>
      </c>
      <c r="I11" s="1" t="s">
        <v>49</v>
      </c>
      <c r="J11" s="1" t="s">
        <v>62</v>
      </c>
      <c r="K11" s="1"/>
      <c r="L11" s="13" t="s">
        <v>76</v>
      </c>
      <c r="M11" s="6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6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6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6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6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6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6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6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6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6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6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6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6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6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6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6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6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6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6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54</v>
      </c>
      <c r="J12" s="1" t="s">
        <v>62</v>
      </c>
      <c r="K12" s="1"/>
      <c r="L12" s="14" t="s">
        <v>27</v>
      </c>
      <c r="M12" s="6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6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6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6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6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6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6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6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6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6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6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6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6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6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6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6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6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6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6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54</v>
      </c>
      <c r="J13" s="1" t="s">
        <v>62</v>
      </c>
      <c r="K13" s="1"/>
      <c r="L13" s="13" t="s">
        <v>26</v>
      </c>
      <c r="M13" s="6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6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6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6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6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6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6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6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6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6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6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6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6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6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6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6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6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6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6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72</v>
      </c>
      <c r="C14" t="s">
        <v>73</v>
      </c>
      <c r="E14" s="1">
        <v>12</v>
      </c>
      <c r="F14" s="1" t="s">
        <v>77</v>
      </c>
      <c r="G14" s="1" t="s">
        <v>29</v>
      </c>
      <c r="H14" s="1" t="s">
        <v>44</v>
      </c>
      <c r="I14" s="1" t="s">
        <v>54</v>
      </c>
      <c r="J14" s="1" t="s">
        <v>59</v>
      </c>
      <c r="K14" s="1"/>
      <c r="L14" s="14" t="s">
        <v>77</v>
      </c>
      <c r="M14" s="6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6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6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6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6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6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6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6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6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6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6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6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6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6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6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6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6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6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6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78</v>
      </c>
      <c r="G15" s="1" t="s">
        <v>35</v>
      </c>
      <c r="H15" s="1" t="s">
        <v>30</v>
      </c>
      <c r="I15" s="1" t="s">
        <v>56</v>
      </c>
      <c r="J15" s="1" t="s">
        <v>60</v>
      </c>
      <c r="K15" s="1"/>
      <c r="L15" s="13" t="s">
        <v>78</v>
      </c>
      <c r="M15" s="6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6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6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6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6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6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6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6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6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6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6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6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6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6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6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6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6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6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6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57</v>
      </c>
      <c r="J16" s="1" t="s">
        <v>60</v>
      </c>
      <c r="K16" s="1"/>
      <c r="L16" s="14" t="s">
        <v>34</v>
      </c>
      <c r="M16" s="6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6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6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6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6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6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6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6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6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6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6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6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6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6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6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6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6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6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6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75</v>
      </c>
      <c r="G17" s="1" t="s">
        <v>38</v>
      </c>
      <c r="H17" s="1" t="s">
        <v>31</v>
      </c>
      <c r="I17" s="1" t="s">
        <v>51</v>
      </c>
      <c r="J17" s="1" t="s">
        <v>60</v>
      </c>
      <c r="K17" s="1"/>
      <c r="L17" s="13" t="s">
        <v>75</v>
      </c>
      <c r="M17" s="6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6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6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6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6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6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6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6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6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6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6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6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6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6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6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6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6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6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6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85</v>
      </c>
      <c r="G18" s="1" t="s">
        <v>29</v>
      </c>
      <c r="H18" s="1" t="s">
        <v>44</v>
      </c>
      <c r="I18" s="1" t="s">
        <v>54</v>
      </c>
      <c r="J18" s="1" t="s">
        <v>59</v>
      </c>
      <c r="K18" s="1"/>
      <c r="L18" s="14" t="s">
        <v>85</v>
      </c>
      <c r="M18" s="6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6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6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6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6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6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6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6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6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6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6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6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6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6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6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6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6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6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6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84</v>
      </c>
      <c r="G19" s="1" t="s">
        <v>35</v>
      </c>
      <c r="H19" s="1" t="s">
        <v>31</v>
      </c>
      <c r="I19" s="1" t="s">
        <v>49</v>
      </c>
      <c r="J19" s="1" t="s">
        <v>60</v>
      </c>
      <c r="K19" s="1"/>
      <c r="L19" s="13" t="s">
        <v>84</v>
      </c>
      <c r="M19" s="6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6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6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6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6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6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6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6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6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6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6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6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6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6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6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6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6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6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6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57</v>
      </c>
      <c r="J20" s="1" t="s">
        <v>60</v>
      </c>
      <c r="K20" s="1"/>
      <c r="L20" s="14" t="s">
        <v>28</v>
      </c>
      <c r="M20" s="6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6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6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6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6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6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6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6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6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6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6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6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6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6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6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6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6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6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6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81</v>
      </c>
      <c r="G21" s="1" t="s">
        <v>36</v>
      </c>
      <c r="H21" s="1" t="s">
        <v>42</v>
      </c>
      <c r="I21" s="1" t="s">
        <v>55</v>
      </c>
      <c r="J21" s="1" t="s">
        <v>60</v>
      </c>
      <c r="K21" s="1"/>
      <c r="L21" s="13" t="s">
        <v>81</v>
      </c>
      <c r="M21" s="6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6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6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6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6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6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6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6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6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6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6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6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6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6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6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6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6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6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6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2" t="s">
        <v>74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</row>
    <row r="24" spans="2:31" x14ac:dyDescent="0.3">
      <c r="B24" t="s">
        <v>72</v>
      </c>
      <c r="C24" t="s">
        <v>73</v>
      </c>
      <c r="M24">
        <f>MAX(BiomeCompat[])</f>
        <v>44.5</v>
      </c>
    </row>
    <row r="25" spans="2:31" x14ac:dyDescent="0.3">
      <c r="B25" t="s">
        <v>55</v>
      </c>
      <c r="C25">
        <v>6</v>
      </c>
    </row>
    <row r="26" spans="2:31" x14ac:dyDescent="0.3">
      <c r="B26" t="s">
        <v>57</v>
      </c>
      <c r="C26">
        <v>2</v>
      </c>
    </row>
    <row r="27" spans="2:31" x14ac:dyDescent="0.3">
      <c r="B27" t="s">
        <v>51</v>
      </c>
      <c r="C27">
        <v>3</v>
      </c>
    </row>
    <row r="28" spans="2:31" x14ac:dyDescent="0.3">
      <c r="B28" t="s">
        <v>54</v>
      </c>
      <c r="C28">
        <v>0</v>
      </c>
    </row>
    <row r="29" spans="2:31" x14ac:dyDescent="0.3">
      <c r="B29" t="s">
        <v>56</v>
      </c>
      <c r="C29">
        <v>1</v>
      </c>
    </row>
    <row r="30" spans="2:31" x14ac:dyDescent="0.3">
      <c r="B30" t="s">
        <v>50</v>
      </c>
      <c r="C30">
        <v>5</v>
      </c>
    </row>
    <row r="31" spans="2:31" x14ac:dyDescent="0.3">
      <c r="B31" t="s">
        <v>49</v>
      </c>
      <c r="C31">
        <v>4</v>
      </c>
    </row>
    <row r="33" spans="2:6" x14ac:dyDescent="0.3">
      <c r="B33" t="s">
        <v>72</v>
      </c>
      <c r="C33" t="s">
        <v>73</v>
      </c>
      <c r="D33" t="s">
        <v>65</v>
      </c>
    </row>
    <row r="34" spans="2:6" x14ac:dyDescent="0.3">
      <c r="B34" t="s">
        <v>59</v>
      </c>
      <c r="C34">
        <v>10</v>
      </c>
      <c r="D34" t="s">
        <v>67</v>
      </c>
      <c r="F34" s="5"/>
    </row>
    <row r="35" spans="2:6" x14ac:dyDescent="0.3">
      <c r="B35" t="s">
        <v>63</v>
      </c>
      <c r="C35">
        <v>40</v>
      </c>
      <c r="D35" t="s">
        <v>70</v>
      </c>
      <c r="F35" s="5"/>
    </row>
    <row r="36" spans="2:6" x14ac:dyDescent="0.3">
      <c r="B36" t="s">
        <v>64</v>
      </c>
      <c r="C36">
        <v>50</v>
      </c>
      <c r="D36" t="s">
        <v>71</v>
      </c>
    </row>
    <row r="37" spans="2:6" x14ac:dyDescent="0.3">
      <c r="B37" t="s">
        <v>60</v>
      </c>
      <c r="C37">
        <v>20</v>
      </c>
      <c r="D37" t="s">
        <v>68</v>
      </c>
    </row>
    <row r="38" spans="2:6" x14ac:dyDescent="0.3">
      <c r="B38" t="s">
        <v>61</v>
      </c>
      <c r="C38">
        <v>30</v>
      </c>
      <c r="D38" t="s">
        <v>69</v>
      </c>
    </row>
    <row r="39" spans="2:6" x14ac:dyDescent="0.3">
      <c r="B39" t="s">
        <v>62</v>
      </c>
      <c r="C39">
        <v>-10</v>
      </c>
      <c r="D39" t="s">
        <v>66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2023-09-25T18:56:06Z</dcterms:modified>
</cp:coreProperties>
</file>